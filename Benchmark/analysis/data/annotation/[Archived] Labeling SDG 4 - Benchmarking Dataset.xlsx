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visible" name="Finn" sheetId="2" r:id="rId5"/>
    <sheet state="visible" name="Gib" sheetId="3" r:id="rId6"/>
    <sheet state="visible" name="Jean-Baptiste" sheetId="4" r:id="rId7"/>
    <sheet state="visible" name="Meike" sheetId="5" r:id="rId8"/>
    <sheet state="visible" name="Steve" sheetId="6" r:id="rId9"/>
    <sheet state="visible" name="Source" sheetId="7" r:id="rId10"/>
    <sheet state="visible" name="Final Review" sheetId="8" r:id="rId11"/>
    <sheet state="visible" name="Output" sheetId="9" r:id="rId12"/>
  </sheets>
  <definedNames>
    <definedName hidden="1" localSheetId="6" name="_xlnm._FilterDatabase">Source!$A$1:$K$101</definedName>
    <definedName hidden="1" localSheetId="7" name="_xlnm._FilterDatabase">'Final Review'!$A$1:$S$101</definedName>
    <definedName hidden="1" localSheetId="8" name="_xlnm._FilterDatabase">Output!$A$1:$G$958</definedName>
  </definedNames>
  <calcPr/>
</workbook>
</file>

<file path=xl/sharedStrings.xml><?xml version="1.0" encoding="utf-8"?>
<sst xmlns="http://schemas.openxmlformats.org/spreadsheetml/2006/main" count="2379" uniqueCount="467">
  <si>
    <t>Hello 👋</t>
  </si>
  <si>
    <t>Welcome to the labeling exercise for SDG 4.</t>
  </si>
  <si>
    <t>The objective of this exercise is to label 100 texts in terms of their relevance to SDG 4.</t>
  </si>
  <si>
    <t>Your Labeling Sheet</t>
  </si>
  <si>
    <t>You have your own personal sheet for assigning the labels. You will find it by clicking on your name in the list at the bottom of this page.</t>
  </si>
  <si>
    <t>Each sheet has the same 100 texts, but the order in which they appear has been randomized.</t>
  </si>
  <si>
    <t>Later on, we will put everyone's labels side-by-side. This will help us identify texts with high and low alignment.</t>
  </si>
  <si>
    <t>At our next meeting, we will discuss the texts where we have disagreements and see if we can reach a consensus for the "true" label for every text.</t>
  </si>
  <si>
    <t>Please resist the temptation to look at other people's labels until you are done labeling. 🙂</t>
  </si>
  <si>
    <t>Explanation of Labels</t>
  </si>
  <si>
    <t>On your personal sheet, you will find the text in column B.</t>
  </si>
  <si>
    <t>Column C contains a drop-down for picking the appropriate label. The options are:</t>
  </si>
  <si>
    <t>This text is relevant to SDG 4</t>
  </si>
  <si>
    <t>This text is not relevant to SDG 4</t>
  </si>
  <si>
    <t>SKIP</t>
  </si>
  <si>
    <t>You can use this if you are not sure about the label</t>
  </si>
  <si>
    <t>If you want, you can put any comments in column D.</t>
  </si>
  <si>
    <t>Instructions for Labeling</t>
  </si>
  <si>
    <t>The text should be annotated as SDG 4 only if:</t>
  </si>
  <si>
    <r>
      <rPr>
        <rFont val="Arial"/>
        <color theme="1"/>
        <u/>
      </rPr>
      <t xml:space="preserve">1. The text addresses </t>
    </r>
    <r>
      <rPr>
        <rFont val="Arial"/>
        <b/>
        <color theme="1"/>
        <u/>
      </rPr>
      <t>SDG 4 or one of its targets</t>
    </r>
  </si>
  <si>
    <t>See the official definitions of SDG 4 and its targets below ("SDG 4 Description &amp; Targets").</t>
  </si>
  <si>
    <t>AND</t>
  </si>
  <si>
    <r>
      <rPr>
        <rFont val="Arial"/>
        <color theme="1"/>
        <u/>
      </rPr>
      <t xml:space="preserve">2. The text addresses SDG 4 or its targets </t>
    </r>
    <r>
      <rPr>
        <rFont val="Arial"/>
        <b/>
        <color theme="1"/>
        <u/>
      </rPr>
      <t>directly</t>
    </r>
    <r>
      <rPr>
        <rFont val="Arial"/>
        <color theme="1"/>
        <u/>
      </rPr>
      <t>:</t>
    </r>
  </si>
  <si>
    <t>- the text should be directly relevant to SDG 4 or to achieving SDG 4</t>
  </si>
  <si>
    <t>- if a text only has an indirect or implicit relevance, it should not be labeled SDG 4</t>
  </si>
  <si>
    <r>
      <rPr>
        <rFont val="Arial"/>
        <color theme="1"/>
        <u/>
      </rPr>
      <t xml:space="preserve">3. The text addresses SDG 4 or its targets </t>
    </r>
    <r>
      <rPr>
        <rFont val="Arial"/>
        <b/>
        <color theme="1"/>
        <u/>
      </rPr>
      <t>specifically</t>
    </r>
    <r>
      <rPr>
        <rFont val="Arial"/>
        <color theme="1"/>
        <u/>
      </rPr>
      <t>:</t>
    </r>
  </si>
  <si>
    <t>- the text should be specific to SDG 4 and its targets</t>
  </si>
  <si>
    <t>- if fact stating, the text should contain value-laden words (e.g. renewable energy instead of energy, drug abuse instead of drugs, infant mortality instead of premature deaths)</t>
  </si>
  <si>
    <r>
      <rPr>
        <rFont val="Arial"/>
        <color theme="1"/>
        <u/>
      </rPr>
      <t xml:space="preserve">4. Annotate as SDG 4 regardless of </t>
    </r>
    <r>
      <rPr>
        <rFont val="Arial"/>
        <b/>
        <color theme="1"/>
        <u/>
      </rPr>
      <t>valence</t>
    </r>
    <r>
      <rPr>
        <rFont val="Arial"/>
        <color theme="1"/>
        <u/>
      </rPr>
      <t xml:space="preserve"> and </t>
    </r>
    <r>
      <rPr>
        <rFont val="Arial"/>
        <b/>
        <color theme="1"/>
        <u/>
      </rPr>
      <t>other SDGs</t>
    </r>
    <r>
      <rPr>
        <rFont val="Arial"/>
        <color theme="1"/>
        <u/>
      </rPr>
      <t>:</t>
    </r>
  </si>
  <si>
    <t>- annotate as SDG 4 regardless of whether the content is discussed in a positive or negative light. We ignore valence (sentiment) for now.</t>
  </si>
  <si>
    <t>- annotate as SDG 4 even if other SDGs are mentioned and annotate as SDG 4 even if SDG 4 is not the "most important" SDG in the text</t>
  </si>
  <si>
    <t>With all that said, please do trust your judgment! I am sure we will have important discussions about these issues next time — which is exactly what we want 😊</t>
  </si>
  <si>
    <t>SDG 4 Description &amp; Targets</t>
  </si>
  <si>
    <t>Click here to see all other SDGs and targets.</t>
  </si>
  <si>
    <t>Labeling Sheets</t>
  </si>
  <si>
    <t>Please click on your name to access your personal labeling sheet. Names are listed in alphabetical order.</t>
  </si>
  <si>
    <t>Name</t>
  </si>
  <si>
    <r>
      <rPr>
        <rFont val="Arial"/>
        <b/>
        <color theme="1"/>
      </rPr>
      <t>Progress</t>
    </r>
    <r>
      <rPr>
        <rFont val="Arial"/>
        <b val="0"/>
        <color theme="1"/>
      </rPr>
      <t xml:space="preserve"> (will update automatically)</t>
    </r>
  </si>
  <si>
    <t>Finn</t>
  </si>
  <si>
    <t>Gib</t>
  </si>
  <si>
    <t>Jean-Baptiste</t>
  </si>
  <si>
    <t>Meike</t>
  </si>
  <si>
    <t>Steve</t>
  </si>
  <si>
    <t>Thank you for being part of this exercise and thanks to OSDG for the dataset! ❤️</t>
  </si>
  <si>
    <t>Text Selection</t>
  </si>
  <si>
    <t>FYI: You do not need to read this section. We are just documenting how the texts for this exercise were selected.</t>
  </si>
  <si>
    <t>In total, 100 texts were selected from the OSDG dataset for SDG 4. The reason for selecting each text is documented in the "Source" sheet.</t>
  </si>
  <si>
    <t>Automatic Selection (50 texts)</t>
  </si>
  <si>
    <t>50 texts were selected automatically</t>
  </si>
  <si>
    <t>- 25 texts that OSDG community labeled as "SDG 4"</t>
  </si>
  <si>
    <t>- 25 texts that OSDG community labeled as "not SDG 4"</t>
  </si>
  <si>
    <t>In the OSDG dataset, each text has an agreement score between 0 (equal positive and negative labels) to 1 (full consensus).</t>
  </si>
  <si>
    <t>Each set of the 25 texts above consist of:</t>
  </si>
  <si>
    <t>- 5 texts with agreement score &gt; 0.8</t>
  </si>
  <si>
    <t>- 5 texts with agreement score &gt; 0.6 and &lt;= 0.8</t>
  </si>
  <si>
    <t>- 5 texts with agreement score &gt; 0.4 and &lt;= 0.6</t>
  </si>
  <si>
    <t>- 5 texts with agreement score &gt; 0.2 and &lt;= 0.4</t>
  </si>
  <si>
    <t>- 5 texts with agrement score &gt; 0 and &lt;= 0.2</t>
  </si>
  <si>
    <t>For each permutation (label + agreement level), the five texts with the largest number of annotators were selected.</t>
  </si>
  <si>
    <t>Manual Selection (50 texts)</t>
  </si>
  <si>
    <t>20 texts were selected manually to try to cover the 10 targets of SDG 4.</t>
  </si>
  <si>
    <t>20 texts were selected manually to try to cover words used in the targets of SDG 4 (but are not about SDG 4 according to the OSDG community "vote")</t>
  </si>
  <si>
    <t>For each target, 2 positive and 2 negative texts were selected.</t>
  </si>
  <si>
    <t>In total, 20 texts with label "SDG 4" and 20 texts with label "not SDG 4" were selected.</t>
  </si>
  <si>
    <t>Another ten texts with agreement score=0 were selected.</t>
  </si>
  <si>
    <t>Text ID</t>
  </si>
  <si>
    <t>Text</t>
  </si>
  <si>
    <t>SDG 4 Label</t>
  </si>
  <si>
    <t>Comments (optional)</t>
  </si>
  <si>
    <t>2ab5cc24daae0ce0c8f7d241ca4a11e0</t>
  </si>
  <si>
    <t>These standards have been defined through a project by Storbynettverket (a network of large cities), which is partly funded by national authorities. The defined standards distinguish four different levels of quality through description of practice. The standards are based on topics covered in the Framework Plan for kindergartens.</t>
  </si>
  <si>
    <t>4717662ae7ffe56578a1760f0fc9c36a</t>
  </si>
  <si>
    <t>The magnitude of some of these differences suggests that new teachers may require more support to develop effective pedagogical strategies for teaching content in some countries than in others, possibly due to limited pre-service or in-service training. In countries such as the Czech Republic, Iceland and Sweden, the gaps between the proportion of new and experienced teachers feeling "very well" prepared in classroom practice in the subject field(s) are greater than 30 percentage points. However, in France (4 percentage points) and japan (7 percentage points), the differences between the groups are much smaller, and there are no statistical significant differences in Finland and Korea.</t>
  </si>
  <si>
    <t>9de49aed4d6acb3e29f023d8c5ab183d</t>
  </si>
  <si>
    <t>Indeed, in 2017, close to one in every three participants of integration training fell into unemployment three months following the end of their participation, a further 62 % were in other PES measures. The majority of the remainder continued to vocational training or independent study while fewer than 10% moved into work trials or employment. Coverage, however, is heterogeneous and multiple providers often serve to complicate the integration landscape still further.</t>
  </si>
  <si>
    <t>target 4.4 (weak)</t>
  </si>
  <si>
    <t>78bf8e462c13a2b8afdd34bb93efda98</t>
  </si>
  <si>
    <t>However, the literature and debate (especially from Indigenous scholars and representative organisations) highlight distinct and broader criteria of educational and learning success, such as positive self-concept, strong cultural identity, happiness and confidence. There is a widespread concern among Indigenous scholars and community advocates about loss of language, the importance of language and cultural preservation and revitalisation, and a desire to see greater social harmony, anti-racist sentiment and cultural respect (Dreise and Perrett, forthcoming, CCL, 2007). Indigenous research also points to identity, wisdom and traditions as critical in shaping identity and character, and sustaining deep relationships between kin, land and water.</t>
  </si>
  <si>
    <t>2438da4d8de37f60d365023f9e0ceb37</t>
  </si>
  <si>
    <t>A pilot of this programme in 2010 supported nine projects. The extent of the benefit depends on the score obtained in the university selection test (PSU). It includes at the minimum the payment of 100% of tuition fees if the student is above a given cut-off score. But it can also include a monthly stipend (if above a higher cut-off score) and a semester studying abroad (if above an even higher cut-off score). There are indications that, as a result of this initiative, the average PSU score of students entering teacher education has increased in 2011. A further initiative is the “Choose to Teach” (Elige Educar) campaign which seeks to promote teaching through a variety of actions, including the monitoring of the social status of teaching, scholarships for individuals with experience outside education who would like to join teaching, and interventions in schools to provide information about teaching and raise awareness among school agents of the importance of teaching as a profession.</t>
  </si>
  <si>
    <t>target 4.b (weak)</t>
  </si>
  <si>
    <t>b43465feaee052bb248fb99315894250</t>
  </si>
  <si>
    <t>Sustainable development implies a radical reconfiguration of patterns of production and consumption, and changes in the relationship between societies and the natural environment. It therefore requires the structural transformation of economies, especially in LDCs, which need to transition to high-productivity economic activities and sectors in order to tackle the traditional challenges of economic and social development in a new way that mainstreams environmental considerations. The concept of sustainable development links three dimensions of sustainability — economic, social and environmental — and the 2030 Agenda emphasizes the unity of, and mutual support between, these dimensions.</t>
  </si>
  <si>
    <t>5809dd13bb427048d56ff6455d0ad739</t>
  </si>
  <si>
    <t>Among these are the Sahabat Alam Malaysia, the country’s leading civil society social environment organisation, and Pantai Acheh, the world’s smallest national park and Consumer’s Association of Penang whose well-researched studies have provided substantive strength on many fronts to Malaysians. As a port city, there is potential for maritime education and research. Above all, the Penang area has a significant repository of diverse ethnic groups, including retirees and expatriates, who constitute an untapped source of talent.</t>
  </si>
  <si>
    <t>78ef0c8f22d4c02c0066e6aa383ec1f7</t>
  </si>
  <si>
    <t>Available evidence from individual longitudinal data for the United States and Europe suggests that the NEET status can be very persistent, leading to a vicious circle whereby inactivity feeds into discouragement and that, in turn, to a further detachment from the labour market (Quintini and Manfredi, 2009). For instance, low skilled workers are much more likely to oscillate between the formal and the informal sector and between inactivity and unemployment than workers with higher skills (OECD, 2012a). Low skilled workers benefit also from lower social protection (e.g. unemployment benefits, sickness coverage, severance pay) than high skilled workers, as they are more likely to work informally (OECD, 2009, Scarpetta and Sonnet, 2012). Informal employment, although has receded during the past three years, remains significant in Chile.</t>
  </si>
  <si>
    <t>3f0a4f0938a3f7d856f0f5b34c25c572</t>
  </si>
  <si>
    <t>Welfare states may also experience the financial burden of supporting individuals who are constantly cycling in and out of low-paid work. Such costs to the state can be related to unemployment benefits and other out of work cash transfers and any in-work cash transfers intended to supplement the income of low-paid workers from low-income households (Thompson, 2015).To reduce the number of working poor, as well as to cut down on public expenditure costs in the long run, governments should look towards policy solutions that improve job security and increase the wages of low-paid-workers (Europa, 2013). According to a working paper on the relationship between age and skills using data from the Survey of Adult Skills (Paccagnella, 2016), a negative relationship between literacy and age exists. Literacy declines with age, especially after age 45. In Denmark, Ireland, Norway and Sweden, literacy proficiency falls substantially with age. Adults aged 55 to 64 have 18% to 23% lower literacy proficiency than 25-34 year-olds, even after various socio-economic and demographic factors are taken into account.</t>
  </si>
  <si>
    <t>187a5838076335d6ecfb1910c8d606c6</t>
  </si>
  <si>
    <t>In this context, quality education and skills formation that equip individuals with labour market-relevant skills are more important than ever. This report finds that the progress different countries have made in providing educational and skills development opportunities to disadvantaged individuals has varied widely. Only a few countries have been successful in providing lifelong learning opportunities. Most have offered sporadic interventions at certain stages of life, rather than continued support over the course of an individual’s lifespan.</t>
  </si>
  <si>
    <t>20c9a6237916954705d7690b19e3ec1d</t>
  </si>
  <si>
    <t>In most OECD and partner countries, boys are at least 40% more likely than girls to enrol in vocational education (Figure 2.a), and students whose parents did not attain tertiary education are more likely to choose upper secondary vocational programmes than general programmes (Box B3.1). By including formal and non-formal education, this indicator captures participation in any type of programme that aims to improve knowledge, skills and competencies from a personal, civic, social or employment-related perspective (UNESCO, 2016(2]). In most OECD and partner countries, at least 20% of 25-64 year-olds have participated in formal or non-formal education and training in the previous 12 months, with participation among men and women varying greatly across countries.</t>
  </si>
  <si>
    <t>69b4e48d872a028ec5df61bcd08a935c</t>
  </si>
  <si>
    <t>Similarly, Poland has achieved significant improvement in the OECD Programme for International Student Assessment (PISA). While the performance of Polish 15-year-olds was still below the OECD average in 2000, it now surpasses that average by a sizeable margin. Poland has also made remarkable progress in terms of the health outcomes of its citizens.</t>
  </si>
  <si>
    <t>30877dcc4ef5039842890d81feec8065</t>
  </si>
  <si>
    <t>The economic dimension was discussed in the previous chapter, while the cognitive and educational components are the focus of subsequent chapters. There is also the question of how social it is understood to be, as opposed to so many traits attaching to individuals. In our view, while the measurement of well-being might often rely on charting characteristics of individuals, well-being understood in this multidimensional way is fundamentally about relationships and the nature of social relations. Such definitions as there are coalesce around the holistic.</t>
  </si>
  <si>
    <t>91acca134615deb7c6e217848df890a0</t>
  </si>
  <si>
    <t>Five dimensions usefully define well-being in young people: cognitive, psychological, physical, social and material. This chapter focuses especially on the social, psychological and physical dimensions. A number of indicators give rise to concern about the wellbeing of Indigenous young people, although data are inadequate to build a full picture.</t>
  </si>
  <si>
    <t>76d71a35e73e7d5064ed108627f4fd9f</t>
  </si>
  <si>
    <t>Preschool education can be increased by one year. Preschool education facilities include nurseries, nursery-kindergartens, kindergartens, nursery-sanatoria, kindergarten-sanatoria and preschool centres for children’s development. Levels 1 and 2 constitute basic education. After basic education, graduates can complete their secondary education (two years) in secondary schools and lyceums.</t>
  </si>
  <si>
    <t>119b3368b29be421c1c3aec66858b34e</t>
  </si>
  <si>
    <t>Human capital is not only a determinant of economic growth and productivity, it is also one of social cohesion and well-being because with higher-level skills and quality jobs, people tend to live healthier. Rural areas of the state tend to be more marginalised than the urban, particularly metropolitan, areas. Territorial disparities are also noticed in students’ school performance as children living in the central and southern parts of the state tend to perform more poorly than those living in the northern part of Morelos.</t>
  </si>
  <si>
    <t>target 4.5</t>
  </si>
  <si>
    <t>cdea746e6bf796781138b2d335948999</t>
  </si>
  <si>
    <t>Counsellors prepare an education plan jointly with the pupils and their parents to ensure a smooth transition into upper secondary education and employment. Those aged 15-17 are a special target group. In case of school non-attendance, counsellors have to get in touch with the youth’s parents within five days after being notified by the school, and youth must be able to begin an activity within 30 days.</t>
  </si>
  <si>
    <t>unsure</t>
  </si>
  <si>
    <t>8fd9b2c0f89eef4142adbe2ecf3113a4</t>
  </si>
  <si>
    <t>On a scale of 1 (very low) to 5 (very high), “High innovation” corresponded to scores of 4 and 5. The indicators presented below capture innovation as a significant change in key practices. On average, more than two-thirds of tertiary graduates (69%) across all sectors perceived their workplace to be highly innovative for at least one type of innovation.</t>
  </si>
  <si>
    <t>b3649c4da6ebd658ed0fa6ccf498a97a</t>
  </si>
  <si>
    <t>While schools should always give priority to individuals with “required” or "acceptable" qualifications, they may exceptionally (e.g. in a situation of teacher shortage) appoint an individual with “other” qualifications (Eurydice, 2015). While teachers are employed by the school boards, they are paid by the Flemish Government and their employment conditions, including pensions, are defined within the public service framework (Flemish Ministry of Education and Training, 2015). There are three stages in the contractual status of teachers: i) temporary appointment of definite duration, ii) temporary appointment of continuous duration (i.e. automatically renewed if the respective school is funded the associated teaching hours), and iii) permanent employment.</t>
  </si>
  <si>
    <t>401919c9a3282b2b5f92b581d03ffdc5</t>
  </si>
  <si>
    <t>Getting Choice Right: Ensuring Equity and Efficiency in Education Policy, Brookings Institution Press, Washington, DC. Handbook of the Economics o/Education, Vol. Panel estimates from PISA”, Journal 0/Develop merit Economics, Vol. Recruiting, retaining, and creating quality teachers”, Nordic Economic Policy Review, Nordic Council of Ministers, Copenhagen, pp.</t>
  </si>
  <si>
    <t>target 4.c</t>
  </si>
  <si>
    <t>d3671f1bd417fa59487e2e4dc876043e</t>
  </si>
  <si>
    <t>There is a need to go beyond the false dichotomy of voluntary/ forced migration, and to recognise that forced migration can offer a valuable pool of qualified labour (in Chanda, 2010: 29). A clear division of institutional responsibility is required’ (Betts and Kaytaz, 2009: 26). Furthermore, there are ‘hard law norms - in terms of International Human Rights Law - but what is needed is a “soft law” consolidation of those norms to highlight their implications for survival migration’ (in Chanda, 2010: 28).</t>
  </si>
  <si>
    <t>3b845e33445dd76df7779c70eca1f3f4</t>
  </si>
  <si>
    <t>This would help public employment services to identify the most appropriate course of action for each job-seeker. Differences in returns as proficiency increases vary across countries, more so than for employment status. For instance, within countries, the top 25% best-paid Korean and Japanese workers scoring at Level 2 in literacy earn more than the median hourly wage of those scoring at Level 4 or 5 (Figure 6.4 [LJ).</t>
  </si>
  <si>
    <t>60f73476ebc6060f803927840fce0b6a</t>
  </si>
  <si>
    <t>Teachers have financial and career-based incentives to participate in short training courses. They can also participate in activities organised by the subject-specific pedagogical advisor in each region, but they hardly ever receive direct support in the classroom as there is only one advisor for 800 teachers. Further tests of teachers’ knowledge of science and mathematics are planned for 2017. The appraisal is expected to look at teachers' professional development, attitudes, human relations, and discipline. High success rates suggest that the appraisal is largely seen as an administrative requirement rather than a process to improve teachers' performance (MEP, 2016). In 2015, virtually all teachers (98%) received an excellent or very good appraisal, and less than 0.1% (15 teachers in Costa Rica) received a regular or unsatisfactory performance appraisal.</t>
  </si>
  <si>
    <t>target 4.c (negative example)</t>
  </si>
  <si>
    <t>05dfd07bd6ff3bbff38b60faa87594f8</t>
  </si>
  <si>
    <t>Their average scores in all three key subject areas in the 2006 Programme for International Student Assessment (PISA) fare relatively well compared with other OECD countries (Figure 1). The Progress in International Reading Literacy Study (PIRLS) and the Trends in International Mathematics and Science Study (TIMSS)2 confirm that Slovenian pupils compare favourably against their peers in the participating countries, with slightly higher achievement in science than in reading and mathematics. Trends in average science, mathematics and literacy scores of fourth and eighth-grade students have been rather favourable as well, with scores on TIMSS and PIRLS assessments, particularly in science and mathematics, improving substantially.</t>
  </si>
  <si>
    <t>2df872b230a2f384b0507aeae4734238</t>
  </si>
  <si>
    <t>In addition, the college provides college-level opportunities for special needs adults who by Israeli law are entitled to state-supported education till the age of 21. The college also has a centre for giftedness and excellence which prepares students to teach these special needs students and provides services to the region's teachers and schools in this field. Key needs of the Arab community in Israel were recently identified in a market survey that helped the institution to identify its focus areas: occupation therapy, computer science, environmental science, entrepreneurship and business management, theology and Holy Land studies, speech therapy, biotechnology and nutrition science. Study programmes integrate practice, education and theory.</t>
  </si>
  <si>
    <t>target 4.5 (equal access)</t>
  </si>
  <si>
    <t>16a22015a294a0426ccb276aa19b6d4e</t>
  </si>
  <si>
    <t>Finally, the PISA target population covers 15-year-olds enrolled in lower secondary or upper secondary school, but enrolment rates of 15-year-olds differ across countries and over time. This variation could partly contribute to the differences in students' career expectations reported when they are 15 years old. These limitations are discussed in greater detail in Boxes 4.1 and 4.2.</t>
  </si>
  <si>
    <t>09193adb1b3f08e715949d64c8b9e5b7</t>
  </si>
  <si>
    <t>According to estimates for 2012 co-financing represented 11% of the total budget in private-subsidised schools (Paredes et al., The recently approved Inclusion Law (Ley de Inclusion) eliminates shared funding in private-subsidised schools. The implementation of the law will be gradual and schools will be compensated financially through a new grant (see also Chapter 1).</t>
  </si>
  <si>
    <t>61b855b6d717d4f36dd78b88a837f90e</t>
  </si>
  <si>
    <t>The use of such data by the OECD is without prejudice to the status of the Golan Heights, East Jerusalem and Israeli settlements in the West Bank under the terms of international law. Among OECD countries, Israel has the highest fertility rate, with 3 children per woman in 2014, while total fertility rates are lower than 1.3 in Greece, Korea, Poland, Portugal and Spain. By 2000, the age had risen to over 26 on average across OECD countries, and by 2013 it had risen again to 29. On average, the proportion of children living with two married parents decreased between 2005 and 2014 - from 72% to 67%.</t>
  </si>
  <si>
    <t>bdff6bf6142bf685416e99c9c9271293</t>
  </si>
  <si>
    <t>This puts them at a disadvantage when they start school, it also prevents their mothers from working and helping their families out of poverty. The most effective measure that Costa Rica can take to halt rising inequality and give every child a fair chance to succeed in learning and life is to prioritise the expansion of quality ECEC, focusing on the most disadvantaged populations. In 2014, the government established the National Network for Childcare and Development {Red Nacional de Cuido y Desarrollo Infantil, REDCUDI) to improve co-ordination between different public and private providers. The new policy framework to guide the development of services for children aged 0 to 8 represents the first attempt to provide a truly comprehensive, rights-based approach to ECEC in Costa Rica.</t>
  </si>
  <si>
    <t>ECEC = Early Childhood Education and Care</t>
  </si>
  <si>
    <t>659cc8fca1f7e0f0c520b57f60e8d598</t>
  </si>
  <si>
    <t>In March 2012, 41 companies including those in high precision machining, manufacture of electronic components, casting, manufacturing of composite based components and special processes were established in Sonora creating over 7 500 jobs. Trac co UK is one of the foreign companies that invested in Sonora, which accounts for their largest investment outside of the UK. Other smaller companies like Pinnacle Aerospace, which works for the CESNA navigation system, are located in Ciudad Obregon’s new Technology Park and also contribute to the local economy and job creation.</t>
  </si>
  <si>
    <t>6f9b1948bcdee49bb253227f5850a913</t>
  </si>
  <si>
    <t>Other priorities for Denmark include ensuring that teachers and principals have quality support, feedback and professional development opportunities and that principals take a more active pedagogical role. Completing a framework for evaluation and assessment and using the results in schools are also considered priorities. Building the capacity of municipalities and schools to implement national strategies at the local level and optimising resources in a decentralised context are key issues.</t>
  </si>
  <si>
    <t>d2341930301aa4aaa458e48814e38359</t>
  </si>
  <si>
    <t>The electrical and electronics industry (E&amp;E), which accounts for 64% of manufacturing export and 42.6% of FDI, cluster around Penang and Kulin. However, the share of FDI directed to Malaysia within the South East Asia region has diminished from 31% to 11% over the 1985-2005 period. The reduction of FDI flows point to the need to improve the attractiveness of the country and Penang in order to regain competitiveness.</t>
  </si>
  <si>
    <t>e6f49965eb79d78702d3167777d7e067</t>
  </si>
  <si>
    <t>The IDA was instrumental in establishing the International Disability Caucus, the network of global, regional and national organisations of persons with disabilities and allied NGOs, which became a key player in the negotiation of the UNCRPD. The IDA is now a major international player in support of the UNCRPD at international, national and regional levels. The IDA governing body is composed of the chairs of all its member organisations. It meets at least twice annually, usually in Geneva or New York. The IDA, with its unique composition as a network of the foremost international disability rights organisations, is the most authoritative representative voice of persons with disabilities and is acknowledged as such by the UN system both in New York and Geneva. The IDA is also committed to building the capacity of national DPOs with special attention to the global South, in order to support national efforts toward ratification, implementation and monitoring of the UNCRPD.</t>
  </si>
  <si>
    <t>9b820979896a38ac064b94b9983c84fa</t>
  </si>
  <si>
    <t>Table 5.2 shows how, for 13 European OECD countries and Canada, a positive socio-economic environment and parental health behaviour are associated with better health at childhood, while malnutrition is heavily detrimental. Father’s employment is negatively associated with poor child health in Canada. While malnutrition has an impact on immediate health, previous hunger episodes also affect self-assessed health and hospitalisation.</t>
  </si>
  <si>
    <t>0132b24c2092915f49748f70e3c07424</t>
  </si>
  <si>
    <t>Experts know from previous research that there are children who are at risk of not making a successful transition to school, and the gap between these children and their peers increases progressively. Australia’s National Early Childhood Development Strategy -Investing in the early years (Australian Government, 2009a) - also recognises the need to build a solid evidence base as one of its six reform priority areas. The results from the 2009 AEDI are now providing a wealth of information which is being used to influence early childhood initiatives at the community, state and national levels, as well as inform early childhood policy development.</t>
  </si>
  <si>
    <t>b0688f0cd5c844f5dae357e111d30d76</t>
  </si>
  <si>
    <t>They have both a mainstream formal economy and an unofficial economy within which economic transactions occur outside traditional channels and deliver economic and social benefits (Losby et al., Importantly, the two economies are not separate but overlapping. These can be grouped into four main categories, the illegal sector, the underground sector, the household sector and the informal sector (Bernabe, 2002).</t>
  </si>
  <si>
    <t>5da6fe8724d6dd449bb236968350fe3a</t>
  </si>
  <si>
    <t>However, when migrants first arrive in Finland, their ability to productively use their skills in employment tends to be compromised by limited language skills, lack of familiarity with the labour market and, in some cases, poor health. Where wages are able to respond to productivity, lower productivity should not necessarily compromise employer demand. In Finland, however, where collectively-bargained minimum wages act as wage floors, employers hiring those whose productivity is temporarily compromised by limited language skills, are unable to adapt wages accordingly. This is particularly true because foreign-born workers in Finland are heavily concentrated in the lowest-paid positions where collectively-bargained minimum wages bind (over 40% are concentrated in the lowest income quintile).</t>
  </si>
  <si>
    <t>616f79fa65cf716b061b8871a094b5ab</t>
  </si>
  <si>
    <t>The EDI was originally developed in Ontario, Canada, and it is a measure of children’s development as they enter school. The results are aggregated to the group level (school, neighbourhood and city) to provide a population-based measure of children’s development. The data are not reported at the child or class level, which means they are not used as a diagnostic tool for individual children.</t>
  </si>
  <si>
    <t>0cec7c4704334788479f3f697c86e406</t>
  </si>
  <si>
    <t>This effectively puts limitations on the local freedom to change the tax rate (Lotz et al., Setting the grant level is important for the overall fiscal policy of the central government, while agreeing on changes in the local income tax rate is important for the budgeting process of the individual municipalities. Such a sanction system was institutionalised by a budget law from 2012 (Houlberg et al., Even though these sanctions are related to the overall economic performance and not the economic performance in individual municipalities, Lotz et al. (</t>
  </si>
  <si>
    <t>cf5485bab818052acc7ab0b85370dfef</t>
  </si>
  <si>
    <t>Because context is key in the process of policy design and implementation, results may vary from one education system to another, and a specific policy from one country might not have similar results in another. Across many countries, greater decentralisation has devolved responsibilities to regional or local authorities, and schools and ministries of education and their related institutions have taken on a guiding and support role. This has affected policy-making dynamics and incentives for regional and local governments. In these systems, consistency, capacity and leadership at the municipality level are crucial.</t>
  </si>
  <si>
    <t>ca0d6827e514c36150127f985137e036</t>
  </si>
  <si>
    <t>All requests for public or commercial use and translation rights should be submitted to rights@occd.org.___________________________ The focus is on enquiry-based science teaching, teacher-directed instruction, adaptive teaching and teacher feedback. The outcomes of interest include students’ science performance, and students’ dispositions and attitudes towards science. This approach could help close the gender gap between girls and boys when it comes to attitudes towards science and to the decision to pursue a career in STEM-related fields. The results also show that teacher-directed instruction is a reliable strategy that is positively associated with students’ science outcomes regardless of school climate and resources. Adaptive teaching is positively correlated with science performance in the majority of countries, particularly in countries known for the use of personalised learning approaches, while teacher feedback is weakly but positively associated with science performance once students’ achievement in mathematics and reading is accounted for.</t>
  </si>
  <si>
    <t>1fa33c040bbfe8fb5da975fe8d07d349</t>
  </si>
  <si>
    <t>These results hold for both genders, even when we distinguish between on-the-job and off-the-job training. Interestingly, the negative effect of a vocational curriculum is larger in absolute value in countries with higher employment protection. It is often said that the presence of vocational tracks helps keeping students with limited academic attitudes in school. Our empirical evidence shows that upper secondary VET is associated to substantially higher hourly earnings, employability and skills with respect to lower education.</t>
  </si>
  <si>
    <t>f957a1ec35627f80d3ec22a979327745</t>
  </si>
  <si>
    <t>Considering many parents reported that they felt more comfortable touring schools in groups, this intervention is especially important for migrant parents who are navigating the system for the first time. For example, voluntary programmes encourage parents to enrol their children in highly segregated schools in order to create a better balance and promote diversity. Some communities are providing awareness education for non-immigrants parents to disarm stigmatisation and fears of integration measures influencing then- children negatively (Bunar, 2017(72]). For example, in groups, native Dutch families apply to high performing and high minority population schools to ensure their child is not the only native Dutch student in the classroom (Walraven, 2013(68]). In addition, these parents and communities interact with their local schools about curriculum, differentiation for students and afterschool programmes so as to make the learning environment productive for all students.</t>
  </si>
  <si>
    <t>2cf17dbba10a7bde3265dc930c4008d6</t>
  </si>
  <si>
    <t>This may include, for example, encouraging targeted training for apprentice supervisors and offering tools and resources (e.g. website, online forum for instructors) that help firms effectively manage apprentices and overcome any difficulties. Lehraufsicht”, Amt fur Berufsbildung und Berufsberatung, Thurgau, Amt fiir Berufsbildung und Berufsberatung, www.abb.tg.ch/xml 63/internet/de/application/dl0079/d9739/f9309.cfm (accessed 26 February 2016). Oxford Review of Economic Policy, Vol.</t>
  </si>
  <si>
    <t>08316097343988b42866031495b66168</t>
  </si>
  <si>
    <t>Adult participation in lifelong learning strongly depends on educational attainment and age. Despite a slight increase in recent years, the participation of older workers in adult programmes is modest, inhibiting their employment prospects (OECD, 2009b). Adults with low educational attainment (individuals whose highest attained degree is primary or below) show considerably less interest in adult learning activities, the difference between highly educated individuals and individuals with low educational attainment in adult education participation is the highest in the EU (IMAD, 2010).</t>
  </si>
  <si>
    <t>17a7e2b5d5f0548cc19c4def20237eee</t>
  </si>
  <si>
    <t>Unweighted average of EU member countries that are also members of the OECD, excluding Luxembourg. Although, there is some portability of financial support, it is unlikely to provide sufficient means to study abroad without additional private resources. For example, students studying abroad for a limited period, primarily through the ERASMUS programme, can continue to receive scholarships (merit-based, Zois, and means-tested, national scholarship) under the same conditions as the students remaining in Slovenia (for further details on the scholarships, see Box 3.4 of OECD, 2009b). If students go abroad to study in programmes that are not available in Slovenia or they can prove that studying abroad will substantially enhance their expertise and employability, they also can claim the national scholarships for the entire duration of studies.</t>
  </si>
  <si>
    <t>f2005142fab1cf4a97fd541c364b3a81</t>
  </si>
  <si>
    <t>Rachel Linden supervised the publication process. This publication draws on interviews carried out during a week-long review visit on 11-16 March 2012 (Annex II), using information provided to the review team as well as a range of other OECD reports, such as the OECD Studies on Water - Meeting the Water Reform Challenge (2012), OECD Territorial Reviews - Chihuahua (2012), OECD Economic Survey Mexico (2011), OECD Reviews of Innovation Policy Mexico (2009) and OECD Reviews of Tertiary Education Mexico (2008). The OECD would like to thank in particular Gonzalo Rodriguez-Villanueva, the former rector of ITSON (the Instituto Tecnologico de Sonora), whose determination and insight made this review possible and whose efforts to transform ITSON into an engine of Southern Sonora’s development provide inspiration to university leaders globally.</t>
  </si>
  <si>
    <t>da759c921a9bc802d7009153b86cf7ce</t>
  </si>
  <si>
    <t>Nevertheless, tripartite negotiations between the government and social partners typically do not extend to norms for wages increases. In the past years, government intervention in wage setting has been largely limited to determining the statutory minimum wage, which was kept constant from January 2007 until July 2013, when it increased from CZK 8 000/month to CZK 8 500/month, representing 38% of the median wage, one of the lowest ratios among OECD countries. With effect from 1 January 2013, the government abolished the youth minimum wage, which consisted of two differentiated levels, corresponding to 80% and 90% of the statutory minimum wage for those less than 18 and those between 18 and 21 years old, respectively.</t>
  </si>
  <si>
    <t>e19e5d5c2dd4fc614e8173e439b4bfc9</t>
  </si>
  <si>
    <t>Ensuring all lower secondary schools have the strategies and capacity to support student motivation and improvement. However, from the analysis of the OECD-Norway Steering Group, it appears to be operating too much on the basis of shortterm, weakly connected projects to fix specific problems rather than with an overall strategy for systemic change. Valuable recent initiatives need to be related to one another more strategically. These include new programmes related to principal training and support, whole school improvement, the development of assessments, and improvements in school environments.</t>
  </si>
  <si>
    <t>1bbfb4a2e6287262ba5bfa7c5f275fe1</t>
  </si>
  <si>
    <t>With a fixed timetable of regular assessments, Costa Rica might consider alternating the subjects assessed at lower secondary level to enable the evaluation of more of the curriculum, including the more innovative dimensions of education for global citizenship and sustainable development, for example. At no point has the assessment sampled the entire census of schools in a way that would enable school leaders, teachers, students, parents and the local community to understand w'hether their institution is achieving national learning objectives, or whether it is more or less successful than other similar schools. The national assessment could help teachers understand how the new national competence-based curriculum can be tested in practice and ensure classroom-based assessments are setting the same standards across the country.</t>
  </si>
  <si>
    <t>aed3ce86b71a3cac3a572df213d26394</t>
  </si>
  <si>
    <t>More importantly, even the industrial placements that do occur appear to be peripheral to the students’ core academic programme and academic staffs responsibilities. The School of Computer Sciences visited by the OECD team is a major exception to this observation. Some universities, such as the University of Aalborg in Denmark, have also taken steps to embed employability and transferable skills in their core curriculum through problem-based learning in multidisciplinary teams (see Box 2.1.) Co-op education in Canadian universities helps students of all disciplines to complete work terms in industry as part of their curriculum (see Box 2.2.</t>
  </si>
  <si>
    <t>target 4.4</t>
  </si>
  <si>
    <t>f5c986878cf196b16c0ac968b35eb7a5</t>
  </si>
  <si>
    <t>Equity in education is achieved when personal or social circumstances, such as gender, ethnic origin or family background, do not hinder achieving educational potential (fairness) and all individuals reach at least a basic minimum level of skills (inclusion) (OECD, 2012a). Evidence shows that investing in equity should be a priority, as it pays off for economies, societies and individuals. Policies addressing inequities that arise from school failure and personal circumstances (e.g. students’ background, geographic inequalities, etc.)</t>
  </si>
  <si>
    <t>65d5241da72635bfa179ea4a60e636ce</t>
  </si>
  <si>
    <t>In addition, teachers are asked about which language they use during their lessons, as well as which language they use when talking with students. For the out-of-school component the urban/rural status information was collected during the sampling process using each country's administrative classification of regions as urban or rural. The questions follow contemporary approaches to disability, which emphasise the extent to which a disability limits people in doing certain activities in a particular environment.</t>
  </si>
  <si>
    <t>not enough context</t>
  </si>
  <si>
    <t>b9b04f3806a7a5651200a5bef4d48f88</t>
  </si>
  <si>
    <t>Public higher education institutions receive funding directly from the national government in the form of a subsidy for education and research. The Czech School Inspectorate indicates that the proportion of publicly funded schools has decreased recently, while privately funded schools and gymnasia have increased. Church schools are fully supported from national funds. There is little private funding for vocational education and training programmes.</t>
  </si>
  <si>
    <t>34d03a9313b24a6a6ae697c6f35e8786</t>
  </si>
  <si>
    <t>They encourage training provision which is sensitive to labour market needs, familiarise employers with vocational programmes and qualifications, and help teachers of vocational subjects to keep up-to-date.1 It follows that when this type of systematic approach is first implemented in a country, it should help to build a new culture of partnership with employers in the delivery of vocational education and training, a culture which is found in the world’s strongest skills systems. It is also a critical support to other recommendations in this review, including those encouraging vocational teachers to work more closely with employers (see the next section in this chapter) and to negotiate some proportion of the curriculum locally (see Chapter 4). It is commonly argued that employers will not offer the placements and that it is only possible where it is already part of the working culture.</t>
  </si>
  <si>
    <t>bcee84e364c9f6790ba7bf235ec64880</t>
  </si>
  <si>
    <t>It is true that digitalisation has contributed to the rise in populism and the establishment of a post-factual world that can work against rational policy making. But the very same forces, whether in the form of more and better data or new statistical and analytical tools, have also massively expanded the scope and power of social research to create a more evidence-based environment for the development of effective policies. The first PISA assessment in 2000 was able to explain about a third of the performance variation among schools across the participating countries, but in 2015 that figure had risen to 85%. That means that most of the performance differences among schools can now be statistically associated and explained, with data from students, parents, teachers and school principals, even if the causal nature of many of those relationships remains still insufficiently understood. One reason for the difficulty in reforming education is simply the scale and reach of the sector. Schools are among the biggest areas of public spending.</t>
  </si>
  <si>
    <t>be1bf90c01f7cfaf1b085ff13a106bac</t>
  </si>
  <si>
    <t>We are very thankful to the interpreters, Silvia Martuscelli, Ennia Cucchiarelli (Rome) and Maria Fitzgibbon (Florence), who contributed to the quality of the exchanges with stakeholders. Jessica Lagana, Stefano Catani and Carla Di Paola, at the permanent delegation of Italy to the OECD, Andrea Maccarini, member of the CERI Governing Board, and Francesca Brotto, at the Ministry of Education, Universities and Research, are gratefully acknowledged for their support at various stages of the review. The review team wishes to record its grateful appreciation to the many people who gave time from their busy schedules to inform the review team of their views, experiences and knowledge. The total number of IWBs in Italy is about 70k in 2012.</t>
  </si>
  <si>
    <t>60b2305da6a118c72a56db589644d0ea</t>
  </si>
  <si>
    <t>Second, their alignment across levels ensures coherence and allows children who transfer from ECEC settings to primary school to experience a less disruptive transition. Third, these factors are associated with a rise in the use of specific transitions practices, which are the intentional attempts to help ensure smoother transitions by creating support and familiarity (LoCasale-Crouch et al., In these three ways, they influence the quality of transitions and foster children’s development, well-being and learning outcomes (OECD, 2012).</t>
  </si>
  <si>
    <t>4b1fb23adc3b646fdd15ca22834bf426</t>
  </si>
  <si>
    <t>Studies on maternal employment during early childhood from the United States cannot be assumed to generalise to other countries: The United States is unique in the lack of guaranteed maternity leave, contributing to an earlier return of new mothers to the labour force. Studies from multiple countries that capitalise on policy variations and reforms related to maternity leave generally suggest little impact on child outcomes based on the length of leave mothers can access (Baker and Milligan, 2011 [i63i, Dustmann and Schonberg, 2012[i64j, Liu and Skans, 2010[i65i, Washbrook etal., However, mothers’ return to work within six months of children’s birth may be negatively associated with children’s cognitive outcomes, especially if mothers work full-time.</t>
  </si>
  <si>
    <t>227a9e303a8bf6bbcf3ce290f3b18a97</t>
  </si>
  <si>
    <t>First, the predominant form of innovation in firms is incremental, and this points to the central role of the broader workforce in the generation, adaptation and diffusion of technical and organisational change. Second, achieving high academic standards within a country for the largest proportion of school students not only supports high participation in post school education and training but creates a workforce with greater potential to engage productively with innovation. Third, the extent to which a firm’s workforce actively engages in innovation is strongly determined by particular work organisation practices. Finally, there are large differences across advanced nations in workforce skill formation systems, especially for vocational skills. Such differences result in large disparities across nations in the share of their workforce with formal vocational qualifications, and in the level of these qualifications. The resulting differences in the quantity and quality of workforce skills are a major factor in determining the observed patterns of innovation and key aspects of economic performance.</t>
  </si>
  <si>
    <t>one sentence on education is tricky</t>
  </si>
  <si>
    <t>7dd31831353b1c24035678f08f1d535a</t>
  </si>
  <si>
    <t>The Magneton track provides for dual cooperation between academic groups and industrial company. The aim is to transfer technologies resulting from academic research. Grants are up to USD 800 000. A kibbutz (plural kibbutzim) is a collective community in Israel that was traditionally based on agriculture. Today, farming has been partly surpassed by industrial plants and high-tech enterprises.</t>
  </si>
  <si>
    <t>8f35f99eb44be7e1565707735bed9b62</t>
  </si>
  <si>
    <t>Malaysia’s expanding carbon footprint jolted the federal government into including green technology as part of the Ministry of Energy and Water’s portfolio and into launching its National Green Technology Policy in July 2009. The Government is also committed to reduce carbon emissions by 40% within the next ten years, but may find this target may be difficult to reach due to increasing emphasis on Malaysia as a regional aviation hub and extensive private transport. The Penang Transport Council was established in 2009 to improve public transport by moving people instead of cars.</t>
  </si>
  <si>
    <t>a5a60ffc1c1052946430386c9eae1849</t>
  </si>
  <si>
    <t>Pupils are also introduced to the concept of sustainable development. The topics include, among others, the anthropogenic impact on the environment in Belarus: contamination with radionuclides due to the Chernobyl NPP accident, and local problems of air and soil pollution and surface and groundwater contamination as a result of economic activities. In grade XI, pupils are given a scientific understanding of the environment within the context of development. Topics include heat savings in residential houses, the use of alternative sources of energy (wind and hydro), and environmental problems caused by production, transmission and use of electricity.</t>
  </si>
  <si>
    <t>3b3752f00296d0efb6e5b87d65c1c7a1</t>
  </si>
  <si>
    <t>A new body could take overall responsibility for the entire VET system at upper secondary and post-secondary levels, including the relationship with social partners. The OECD team noted a widely shared commitment across different stakeholders to work together to address policy reform and to work with industry partners, a newly established council must take advantage of this environment. An earlier Council for Human Resources established in 2000 sought to design a national training and employment strategy. According to the information available in other OECD reports and the background report provided by the local team, a significant consequence of the implementation of this strategy was the reorganisation and consolidation of VET programmes in recent years (OECD, 2010b, SPU-MoHE, 2012:37).</t>
  </si>
  <si>
    <t>VET = Vocational education and training initiatives</t>
  </si>
  <si>
    <t>c6fde3fa5e2254d61168fd1b58c69886</t>
  </si>
  <si>
    <t>They listed care-giving and family responsibilities among the top three reasons for not participating in the workplace. These did not feature high on the list of reasons for not working cited by men. Furthermore, young people born outside their country of residence are 1.5 times more likely to be NEET than those without immigrant backgrounds.</t>
  </si>
  <si>
    <t>168a4a9b405b098b66acdea2c4c2f82b</t>
  </si>
  <si>
    <t>In literacy, inequality is at the OECD average and has widened over time (SNAE, 2013a). The socio-economic background of pupils influences their results in mathematics somewhat less than the OECD average, but there is room for improvement, exemplified by Finland and Estonia, who achieve both higher results and greater equity. Variations between schools in PISA results are limited in all the Nordics.</t>
  </si>
  <si>
    <t>12cfdc20b92f36337171a19016f180ac</t>
  </si>
  <si>
    <t>The unemployment rate is consistently higher than the already high national average, 27.8% vs. 24.6% respectively, and unequally distributed between population groups (see Figure 2.1.). A high proportion of discouraged workers, 7.8% of the labour force (90 795 people in 2009), have given up searching for employment. Agricultural and mining employment has dropped, reducing the availability of employment opportunities for the less or non-qualified job seekers.</t>
  </si>
  <si>
    <t>8efa7e2a4524dfd46929733751235b7e</t>
  </si>
  <si>
    <t>They have engaged with local communities and brought about substantial improvements, especially for children. The goal of CBR is to demystify the rehabilitation process and give responsibility back to the individual, family and community. As can be seen from the above guidance, CBR has taken on the 'social model' and moved away from concepts such as normality and developmental benchmarks when dealing with disabled children.</t>
  </si>
  <si>
    <t>8c72d3a3889b12c2d5fd50edbf6cd35d</t>
  </si>
  <si>
    <t>In addition, an ECO channel used to broadcast environment-related programmes, however, its content changed recently and it no longer includes such programmes. The total number of cable TV users has increased from 89,689 in 2007 to 458,735 in the third quarter of 2017. At the local level, TV broadcasts are not used to transmit information about public consultations organized as part of EIA for mining, construction or other projects planned in the area, with a view to offering an opportunity for participation and better engaging the nomadic population in decision-making.</t>
  </si>
  <si>
    <t>139d8e8bd0e14591ef79429e21485116</t>
  </si>
  <si>
    <t>Girls reported more positive attitudes towards relationships, meaning that they tend to be more interested in the opinions of others and want others to succeed. Boys, on the other hand, are more likely to see the instrumental benefits of teamwork and how collaboration can help them work more effectively and efficiently. Students who reported more positive student-student interactions score higher in collaborative problem solving, even after considering the socio-economic profile of students and schools. Schools that succeed in building on these attitudes by designing collaborative learning environments might be able to engage disadvantaged students in new ways.</t>
  </si>
  <si>
    <t>b761c13c8e61e42822eb840ac5d85949</t>
  </si>
  <si>
    <t>The potential benefits of competence-based approaches are not always fully realised. Chapter 2 looks at the identity of professional education and training and proposes new terminology for the sector, it also argues for better data and a clear institutional base for provision. Chapter 3 examines the quality of programmes, and argues that measures in three areas - work-based learning, teacher preparation and career development, and attention to basic skills - would sustain and enhance quality. Chapter 4 looks at qualifications, and makes recommendations designed to make qualifications stronger, to make full use of competence-based approaches, and to strengthen assessment systems.</t>
  </si>
  <si>
    <t>dc3d2c965c783e141780bd542fdfec1c</t>
  </si>
  <si>
    <t>We would also like to thank Emesto Flores-Rivera (ITSON) who, during his 15-month secondment to the OECD, supported the success of the OECD reviews, while making preparations for the Sonora review. We thank the lead co-ordinator and his team as well as other active local counterparts for this review: Jose Manuel Ochoa-Alcantar, Manuel Ricardo Lugo-Cruz and Haziel Misael Ayala-Cecena from ITSON, Benjamin Burgos-Flores from the University of Sonora (UNISON, Universidad de Sonora), Jose Angel Vera-Noriega from the Centre for Research on Nutrition and Development (CIAD, Centro de Investigation en Alimentation y Desarrollo) and Angel Alberto Valdes-Cuervo, ITSON-CIAD. We also thank the following representatives from the Mixed Funds (Fondo Mixto) of the National Council of Science and Technology (CONACYT, Consejo Nacional de Cienciay Tecnologia) in the state of Sonora: Juan Alvarez-Lopez, Francisco Javier Cevallos-Rojas and Jose Manuel Zatarain-Dominguez.</t>
  </si>
  <si>
    <t>b2cd278e18c6bc7d090474a7ea1a2df2</t>
  </si>
  <si>
    <t>This results in high levels of entrepreneurship in LDCs according to the former, but low levels according to the latter. However, since own-account workers and family workers comprise 97 per cent of self-employment, only a small fraction of the self-employed can be considered truly entrepreneurial. The prevalence of informal enterprises is difficult to measure, the scale of the shadow economy, at around 35 per cent of gross domestic product, provides a conservative indicator.</t>
  </si>
  <si>
    <t>51e946090827f8c9da6166a8665d7bbb</t>
  </si>
  <si>
    <t>Some criteria can be introduced nationally and some can be set by regions to better fit local needs. The optimal set of selected indicators is the one that provides a good picture of performance without creating an excessive administrative burden. Achievement of the right balance between these two objectives may be difficult.</t>
  </si>
  <si>
    <t>2df6e71771e188035a6cb9624a00b6d2</t>
  </si>
  <si>
    <t>There could well be much frustration and discontent - among students, parents and employers - if upper secondary and tertiary education is not reconstructed and made more relevant to Indonesia’s economic circumstances. Significant steps have been taken to widen access to and improve the quality of early childhood education, building on initiatives since 2001, and following the 2010 “Grand Design”, a blueprint for the development of early childhood care and education (ECCE). Much more rapid expansion is needed, however, if Indonesia is to realise the targets it has set in its Grand Design blueprint. The allocation of funding to early childhood development and education remains relatively low at some 1.2% of the education budget, compared with the international benchmark of 4-5%.</t>
  </si>
  <si>
    <t>68a3cf0993f4c001f38cef0051bde89c</t>
  </si>
  <si>
    <t>Furthermore, it is not clear, however, that the region's population has the knowledge and skills necessary to “move up the value chain” as needed to compete in the regional and global economy. The significant urban-rural disparities in socioeconomic conditions and educational attainment between Penang and the other states in the Northern Corridor Economic Region also present challenges. Tertiary education institutions should work together towards better alignment of their education provision with the needs of the region.</t>
  </si>
  <si>
    <t>caa6c4d0841b70e6e176f60ca384a11a</t>
  </si>
  <si>
    <t>A recent EU Lifelong Learning Survey, which was carried out as an ad hoc module to the EU Labour Force Survey, places German workers in the lower middle range of EU countries in participation in formal and informal continuing learning activities. As in most countries, it is the more qualified workers who are the most active participants, raising a concern about depreciation of skills in a rapidly changing labour market. Also, those who do know that they have basic skill problems may be reluctant to admit it (Basic Skills Agency, 1997).</t>
  </si>
  <si>
    <t>047d2257506769e27eced58a073efcf5</t>
  </si>
  <si>
    <t>Another TACIS project has recently established a National VET Development Centre. Georgia established a governmental intra-agency commission for social partnership in 2005, the parliament adopted a Law on vocational education, and activities were started to develop new educational programmes, pilot vocational guidance programmes and training of staff for the VET system. Azerbaijan started reforming its VET system in 2007, developing a State Programme to Develop Vocational Education for 2007-10 and adopting an Employment Strategy and Strategy Implementation Programme. Other projects involving international organisations are ongoing.</t>
  </si>
  <si>
    <t>40f692e55596fb743309259bcd463f20</t>
  </si>
  <si>
    <t>This difference is very important and is attributable to the human capital associated with traditional skills and knowledge, not obtained through attending educational institutions. In this chapter we discuss both human capital accumulated through formal schooling and human capital based on local and Indigenous knowledge (LIK). Certainly, measuring the latter is a more challenging task given the difficulty of quantifying the value and scope of LIK. It is worth noting that the lack of one (e.g., formal education) may be partially compensated, albeit indirectly, by another (LIK) in terms of human development. First, human capital is the most important ingredient in the "knowledge sector", which includes technologically advanced industries and services (e.g. information technology, high tech manufacturing, financial services, etc.)</t>
  </si>
  <si>
    <t>517e0620fea0ed670276f3695fca310b</t>
  </si>
  <si>
    <t>It also demonstrates that individuals with similar levels of educational attainment vary in their information-processing proficiency, which may reflect differences in innate ability as well as variation in the quality and degree of skills acquisition, both in and outside the education system. All other things being equal, educational attainment and specific skills related to field of study have a strong effect on entry wages, although the education-wage relationship weakens somewhat with age/experience. College graduates receive sizeable wage premia, although those who have degrees in the humanities or in teacher training and education earn less than social science graduates.</t>
  </si>
  <si>
    <t>7a7653138e0af0a0541e322fff9b1853</t>
  </si>
  <si>
    <t>There are also some differences in the regulations for personnel management between DAEMs (or DEMs) and municipal corporations with delegated authority. The purchase of goods and services is regulated through the Purchasing Law (Ley de Compras). In the private-subsidised sector, all staff, including teachers and principals, is subject to the Labour Code.</t>
  </si>
  <si>
    <t>e9cc713a71b4a2430004c22ca9f0df41</t>
  </si>
  <si>
    <t>In 2000-2009 280 projects specifically addressed disability, targeting people with both mental and physical disabilities. The main activities included capacity building, policy development, CBR, promotion of human rights, de-institutionalisation, social inclusion and improving the collection of data. It has worked with local and national associations in many countries.</t>
  </si>
  <si>
    <t>71e431bb5d21a59c77593674b48ed4b4</t>
  </si>
  <si>
    <t>While this topic may not be at the top of governments’ agendas, the practical cases highlight how OER can give access to virtual laboratories, but also contribute to breaking down disparities in educational resources between countries, between educational institutions in the same country, and between formal, non-formal and informal learning settings. Studies and concrete cases show that the adaptation and augmentation of educational resources made possible by OER are necessary to ensure successful integration into new educational settings. Adequate educational resources have an impact on the overall performance of the education system, but the distribution of resources may be unequal at the institutional and national levels, as well as between formal, informal and non-formal learning settings. The advantage of OER is the ease of their distribution - both because of online distribution and open licensing.</t>
  </si>
  <si>
    <t>b9000d347bda400ccec0b7b57074fce8</t>
  </si>
  <si>
    <t>This increase contributed to the continued rise in national income and improved the current account balance. In 2011, GDP increased by 1.8% in the face of continued uncertain global conditions. During 2012, conditions improved again and GDP growth is expected to return to its long-term trend of about 3% during 2013 and beyond (ABS, 2012a). Employment growth was strongest in the early stages of the recovery.</t>
  </si>
  <si>
    <t>54eea53ba9d27f5df51e4f79a5f6b249</t>
  </si>
  <si>
    <t>Inspections are mainly conducted through interviews, analysis of internal documentation and results of staff self-evaluations. Self-reported surveys and self-reflection reports or journals are commonly used in self-evaluations, and video feedback is not often used. Teamwork and process quality are regularly monitored in peer reviews.</t>
  </si>
  <si>
    <t>876758eb9e474126fab84995836a0d0a</t>
  </si>
  <si>
    <t>New firms are those most likely to generate the most radical innovations and successfully bring them to market, while also creating spillover effects for others. Targeted public support may help those firms that managed to weather the crisis and raise their productivity to now focus on the need to acquire new skills and knowledge assets. The country is less innovative than it used to be.</t>
  </si>
  <si>
    <t>3d425c2fa864b8f28ff469edd8e73060</t>
  </si>
  <si>
    <t>In this context, a GPI value of less than 1 shows that the indicator for boys is higher than the indicator for girls, and vice versa for a GPI value of more than 1. A GPI value of between 0.97 and 1.03 is generally considered to reflect gender parity. It should be noted that the period covered in terms of growth differs from country to country depending upon the data available. Between 2000 and 2013, the number of outbound internationally mobile students from Asia and the Pacific enrolled in tertiary educational institutions outside of their home country increased from 644 thousand 1.7 million students in 2013, an increase of 1.0 million students.</t>
  </si>
  <si>
    <t>last sentence: target 4.3/overarching</t>
  </si>
  <si>
    <t>d6e3b325061bc1711329a6c4b6df4ada</t>
  </si>
  <si>
    <t>In the Slovak Republic, Italy, the Russian Federation and Poland, less than 20% of low-skilled adults reported participation in any form of adult education. The gap in participation rates between adults with low and high literacy proficiency is on average 44 percentage points (30% compared to 74% respectively). In the case of formal education, this difference is 12 percentage points (6% compared to 18%). In relative terms, however, the difference in rates is even greater in the case of formal education, where highly proficient adults are three times more likely to participate than adults with low proficiency.</t>
  </si>
  <si>
    <t>e32e9d2dd3a9e269f69749f468eb0ae8</t>
  </si>
  <si>
    <t>This is not an easy task when class size varies greatly due to the existence of rural or remote schools. Difficulties also emerge in the consideration of students’ and schools’ needs in the formula (e.g. curriculum requirements, school equipment, students’ learning pace). A balance needs to be struck between a simple formula, which might fail to capture everything, and a sophisticated formula, which might be difficult to understand and adjustment might result in unexpected and unwelcomed results.</t>
  </si>
  <si>
    <t>8f8eb9fdaec5ccfbda612611fd6d3ead</t>
  </si>
  <si>
    <t>Finally, the assessment includes developments in non-formal learning (Indicator 1.4), as well as good practice sharing (Indicators 1.5, 1.16). The change to the 2016 assessment on women’s entrepreneurship is a pilot initiative. The planning and design assessment looked at the existence of policy partnerships, policy frameworks, institutional support and the extent to which women entrepreneurs are given strategic importance.</t>
  </si>
  <si>
    <t>5613e7d791e078f30fdf94084ac5608e</t>
  </si>
  <si>
    <t>This data shortage makes it difficult to identify the gaps in detail and thus to plan and target provision. This very good practice was characterised by highly qualified, knowledgeable and committed professional staff, clear curriculum guidelines and quality learning through play. In one childcare centre the impact of the local community alongside commitment at district level was very positive and care, education, health and social work staff were making a real difference to the lives of some very vulnerable children.</t>
  </si>
  <si>
    <t>442cc743101878d6c278893ccaa8fbc6</t>
  </si>
  <si>
    <t>First, students need to have a computer with Internet access in order to participate in a MOOC, which means that students from disadvantaged backgrounds may be penalised. Second, students need to possess the skills to learn on their own and to find the time to follow the class. This analysis covers seventeen MOOCs from Harvard and MIT and 841 687 registrants (with 292 852 (35%) registrants who never engaged with the online content).</t>
  </si>
  <si>
    <t>17a8bc4757614ce6cfcca9bd0550ba74</t>
  </si>
  <si>
    <t>Asian countries are not lagging behind on the challenge, on the contrary, they are working towards developing integrated pathways of skills and employment. Together, these countries represent one of the most dynamic regions in the world, with steady growth, even during the recent financial crisis. Skills development pathways in Asia have a significant focus on developing skills infrastructure in an integrated way with physical infrastructure and therefore taking greater advantage of the synergies of capital investment and industry growth for the large infrastructure projects that the majority of these countries are undertaking. Much can be learned for the experiences in the region.</t>
  </si>
  <si>
    <t>26780117244691db60ded53687bec5f9</t>
  </si>
  <si>
    <t>However, in the case of more complex requests for particular data on the environment (e.g. on transboundary watersheds) requiring the collection of specific data, the Ministry may not have the capacity to do so and may not be in a position to fulfil the request. Requests to NAMEM for multiyear data on air quality' can be responded to upon payment (a rate is applied per digit of data). If the request asks for information about a person or a company, such information is considered confidential and is not provided to the requester.</t>
  </si>
  <si>
    <t>3460530ed94fd7ba9494f62fcbca8e89</t>
  </si>
  <si>
    <t>The Penang Government could be a catalyst in the birth of a cultural and creative hub. Creative sector is a key economic driver globally, in several major economies, the value of the cultural industries ranges between 3% and 6% of the total economy. Rich cultural traditions, ample recreational and entertainment facilities provide enhanced pull factors. Equally, Penang’s linguistic diversity and its population’s facility with languages such as English, Mandarin, Tamil and Malaya are important capacities useful in the regional positioning of Penang.</t>
  </si>
  <si>
    <t>925bdfd4a23b963dc6436717dc863aa7</t>
  </si>
  <si>
    <t>The parks in Bergamo aims at modernising the local industries and struggling against lock in processes. They are relatively diversified and host a number of intermediary organisations. The two parks - Servitech and Kilometro Rosso - help build bridges and appear as vehicles for co-operative projects.</t>
  </si>
  <si>
    <t>ed84404595980829ea05515bfb826d8d</t>
  </si>
  <si>
    <t>More worryingly, in the countries that distributed the PISA parent questionnaire, disadvantaged parents are significantly more likely than advantaged parents to report that "low expenses" and "financial aid" are very important factors to consider when choosing a school. While parents from all backgrounds cite academic achievement as an important consideration when choosing a school for their children, advantaged parents are, on average, nine percentage points more likely than disadvantaged parents to cite this criterion as "very important". These differences suggest that disadvantaged parents may believe that their choice of schools for their child is limited, due to the cost of some schools.</t>
  </si>
  <si>
    <t>df6406a7b0f5aaa7e0ec0af76799b4f3</t>
  </si>
  <si>
    <t>However, their development is dependent on people and practices. In classic innovation literature, the diffusion of an innovation develops over time across five major user groups - innovators, early adopters, early majority, late majority and laggards - until market saturation is achieved. The market is usually seen as the selection mechanism that determines whether an innovation achieves saturation or not.</t>
  </si>
  <si>
    <t>b55ca2cc7fd2521fd3270834bbac89a6</t>
  </si>
  <si>
    <t>Data on food insecurity is derived for the Gallup World Poll, in which individuals aged over 15 report on their household experiences. This means the child-centeredness of the indicators from this survey can only be partial, as they are interpreted as proportions of children living with individuals in households reporting specific conditions/experiences, rather than household experiences. Health data, as with previous studies (OECD, 2009, UNICEF, 2007 and others) are most prevalent, and the availability of surveys and series that included different estimates (for example, infant mortality estimates (before age 1 for instance, or age 5 even), or a range of health behaviours (drug use, sexual debut, and smoking)) forced a selection of indicators that 'best fit' the selection criteria outlined above (in consultation with the Report Card Advisory Board members).</t>
  </si>
  <si>
    <t>eb8d75fff1640ad79de56170c92828b9</t>
  </si>
  <si>
    <t>Shortly after this, the world economy fell into a financial crisis, with a negative influence upon the Vietnamese economy. Many investors stopped investing or limited the scale of production and services. As the Vietnamese economy relies on exports, the global financial crisis resulted in an increase in unemployment (hundreds of thousands people became unemployed as export contracts were cancelled).</t>
  </si>
  <si>
    <t>TO DO</t>
  </si>
  <si>
    <t>not sure how this contributes to a target, more overarching theme</t>
  </si>
  <si>
    <t>it is about scholarships but not really for developing countries (target 4a)</t>
  </si>
  <si>
    <t>about schools but not leraning</t>
  </si>
  <si>
    <t>doubtful: is maritime education meant for educating indigenous people, to provide equal access or is it about the ocean</t>
  </si>
  <si>
    <t>about private vs subsidized education</t>
  </si>
  <si>
    <t>implicit about equality between genders, more about numbers of students</t>
  </si>
  <si>
    <t>mostly about funding</t>
  </si>
  <si>
    <t>tertiary graduates not explicit enough and not linking to specific objective</t>
  </si>
  <si>
    <t>not explicit enough as a link to vocational training, not talking about implications of continuing vocational training, not linked specifically to 4.4</t>
  </si>
  <si>
    <t>on developing relevant skills, but quite weak link</t>
  </si>
  <si>
    <t>more on 9.5</t>
  </si>
  <si>
    <t>only vaguely linked to 4.5</t>
  </si>
  <si>
    <t>can be seen as link to 4.4? Assuming PISA can be used as a proxy for assessing level of relevant skills among pupils</t>
  </si>
  <si>
    <t>4.b, though not strictly in deverloping countries context</t>
  </si>
  <si>
    <t>ECEC = EarlY Childhood and Education Care</t>
  </si>
  <si>
    <t>Not sure, rather vague and no explicit link to SDG 4 or its objectives</t>
  </si>
  <si>
    <t>Educational equity</t>
  </si>
  <si>
    <t>overcoming teacher shortages is essential also for ensuring universal access to education</t>
  </si>
  <si>
    <t>links to 4.2, but without specific call to action or value towards objective</t>
  </si>
  <si>
    <t>on VET</t>
  </si>
  <si>
    <t>more data based no link to SDG 4 objectives specifically</t>
  </si>
  <si>
    <t>education access + quality</t>
  </si>
  <si>
    <t>relevant skills for employment</t>
  </si>
  <si>
    <t>skills development</t>
  </si>
  <si>
    <t>though NEET link not specifically linked to SDG 4</t>
  </si>
  <si>
    <t>though vaguely linked to early childhood development</t>
  </si>
  <si>
    <t>no explicit link to SDG 4 objectives</t>
  </si>
  <si>
    <t>doi</t>
  </si>
  <si>
    <t>text_id</t>
  </si>
  <si>
    <t>text</t>
  </si>
  <si>
    <t>sdg</t>
  </si>
  <si>
    <t>labels_negative</t>
  </si>
  <si>
    <t>labels_positive</t>
  </si>
  <si>
    <t>labels_total</t>
  </si>
  <si>
    <t>agreement</t>
  </si>
  <si>
    <t>label</t>
  </si>
  <si>
    <t>difficulty</t>
  </si>
  <si>
    <t>selection reason</t>
  </si>
  <si>
    <t>10.18356/0ceb7e87-en</t>
  </si>
  <si>
    <t>very easy</t>
  </si>
  <si>
    <t>automated selection</t>
  </si>
  <si>
    <t>10.1787/9789264292697-5-en</t>
  </si>
  <si>
    <t>10.1787/9789264284425-6-en</t>
  </si>
  <si>
    <t>10.1787/9789264089457-en</t>
  </si>
  <si>
    <t>10.1787/9789264089464-en</t>
  </si>
  <si>
    <t>10.1787/eco/surveys-cze-2014-6-en</t>
  </si>
  <si>
    <t>10.1787/9789264245891-7-en</t>
  </si>
  <si>
    <t>10.1787/9789264214682-3-en</t>
  </si>
  <si>
    <t>10.1787/9789264267886-en</t>
  </si>
  <si>
    <t>easy</t>
  </si>
  <si>
    <t>10.1787/9789264225442-21-en</t>
  </si>
  <si>
    <t>10.1787/9789264247598-8-en</t>
  </si>
  <si>
    <t>10.1787/9789264277335-4-en</t>
  </si>
  <si>
    <t>10.1787/9789264169142-en</t>
  </si>
  <si>
    <t>10.1787/9789264276116-4-en</t>
  </si>
  <si>
    <t>10.1787/9789264193338-en</t>
  </si>
  <si>
    <t>10.1787/9789264247543-3-en</t>
  </si>
  <si>
    <t>10.1787/5k94hdlll7vk-en</t>
  </si>
  <si>
    <t>10.1787/9789264234178-6-en</t>
  </si>
  <si>
    <t>medium</t>
  </si>
  <si>
    <t>10.1787/9789264113756-en</t>
  </si>
  <si>
    <t>10.1787/9789264257498-8-en</t>
  </si>
  <si>
    <t>10.1787/9789264225442-10-en</t>
  </si>
  <si>
    <t>10.1787/9789264114579-5-en</t>
  </si>
  <si>
    <t>10.1787/9789264276253-6-en</t>
  </si>
  <si>
    <t>10.1787/9789264262430-6-en</t>
  </si>
  <si>
    <t>10.14217/9781848591271-5-en</t>
  </si>
  <si>
    <t>10.1787/9789264207899-5-en</t>
  </si>
  <si>
    <t>10.1787/9789264287457-7-en</t>
  </si>
  <si>
    <t>10.1787/9789264301603-7-en</t>
  </si>
  <si>
    <t>hard</t>
  </si>
  <si>
    <t>10.1787/9789264209626-2-en</t>
  </si>
  <si>
    <t>10.1787/9789264247543-9-en</t>
  </si>
  <si>
    <t>10.1787/9789264230750-11-en</t>
  </si>
  <si>
    <t>10.18356/091e4d11-en</t>
  </si>
  <si>
    <t>10.1787/5k487ntdbr44-en</t>
  </si>
  <si>
    <t>10.1787/9789264292697-3-en</t>
  </si>
  <si>
    <t>very hard</t>
  </si>
  <si>
    <t>10.1787/9789264214033-8-en</t>
  </si>
  <si>
    <t>10.18356/5d2bfc1d-en</t>
  </si>
  <si>
    <t>10.1787/9789264285637-6-en</t>
  </si>
  <si>
    <t>10.1787/9789264279421-6-en</t>
  </si>
  <si>
    <t>10.1787/eco/surveys-chl-2013-4-en</t>
  </si>
  <si>
    <t>10.1787/9789264254473-8-en</t>
  </si>
  <si>
    <t>10.1787/9789264298644-en</t>
  </si>
  <si>
    <t>10.1787/9789264225442-6-en</t>
  </si>
  <si>
    <t>10.1787/5kg0prg9b1g8-en</t>
  </si>
  <si>
    <t>SDG 4</t>
  </si>
  <si>
    <t>10.1787/9789264233515-7-en</t>
  </si>
  <si>
    <t>target 4.1</t>
  </si>
  <si>
    <t>10.1787/9789264287457-3-en</t>
  </si>
  <si>
    <t>10.1787/9789264113800-en</t>
  </si>
  <si>
    <t>10.1787/9789264230750-6-en</t>
  </si>
  <si>
    <t>UNDECIDED</t>
  </si>
  <si>
    <t>10.14217/9781848591400-6-en</t>
  </si>
  <si>
    <t>target 4.2</t>
  </si>
  <si>
    <t>10.18356/a692184d-en</t>
  </si>
  <si>
    <t>10.1787/9789264233515-6-en</t>
  </si>
  <si>
    <t>10.1787/f9b2e53f-en</t>
  </si>
  <si>
    <t>10.1787/9789264267817-5-en</t>
  </si>
  <si>
    <t>10.1787/eag-2018-6-en</t>
  </si>
  <si>
    <t>target 4.3</t>
  </si>
  <si>
    <t>10.1787/9789264265097-3-en</t>
  </si>
  <si>
    <t>10.1787/9789264230750-4-en</t>
  </si>
  <si>
    <t>10.1787/9789264112322-7-en</t>
  </si>
  <si>
    <t>10.18356/8db7ff68-en</t>
  </si>
  <si>
    <t>10.1787/9789264088986-en</t>
  </si>
  <si>
    <t>10.1787/5kgk6hpnhxzq-en</t>
  </si>
  <si>
    <t>10.1787/9789264305250-4-en</t>
  </si>
  <si>
    <t>10.1787/9789264225442-20-en</t>
  </si>
  <si>
    <t>10.14217/9781848591271-6-en</t>
  </si>
  <si>
    <t>10.1787/5jrxfmjvw9bt-en</t>
  </si>
  <si>
    <t>10.6027/9789289338837-12-en</t>
  </si>
  <si>
    <t>10.1787/f5bd9e57-en</t>
  </si>
  <si>
    <t>target 4.6</t>
  </si>
  <si>
    <t>10.1787/eco/surveys-swe-2015-6-en</t>
  </si>
  <si>
    <t>10.1787/9789264204256-10-en</t>
  </si>
  <si>
    <t>target 4.7</t>
  </si>
  <si>
    <t>10.1787/9789264277335-7-en</t>
  </si>
  <si>
    <t>10.14217/9781848591318-18-en</t>
  </si>
  <si>
    <t>10.1787/059ce467-en</t>
  </si>
  <si>
    <t>target 4.a</t>
  </si>
  <si>
    <t>10.1787/9789264301085-7-en</t>
  </si>
  <si>
    <t>10.1787/9789264305274-7-en</t>
  </si>
  <si>
    <t>10.1787/9789264172616-5-en</t>
  </si>
  <si>
    <t>target 4.b</t>
  </si>
  <si>
    <t>10.1787/9789264279421-4-en</t>
  </si>
  <si>
    <t>10.1787/empl/outlook-2014-8-en</t>
  </si>
  <si>
    <t>10.1787/9789264285637-8-en</t>
  </si>
  <si>
    <t>10.1787/5e122a91-en</t>
  </si>
  <si>
    <t>10.1787/9789264214682-5-en</t>
  </si>
  <si>
    <t>Group</t>
  </si>
  <si>
    <t>Alignment</t>
  </si>
  <si>
    <t>Comments</t>
  </si>
  <si>
    <t>Consensus</t>
  </si>
  <si>
    <t>Rationale</t>
  </si>
  <si>
    <t>Notes</t>
  </si>
  <si>
    <t/>
  </si>
  <si>
    <t>other</t>
  </si>
  <si>
    <t>- Steve: more data based no link to SDG 4 objectives specifically</t>
  </si>
  <si>
    <t>- Steve: education access + quality</t>
  </si>
  <si>
    <t>- Finn: target 4.4</t>
  </si>
  <si>
    <t>- Steve: can be seen as link to 4.4? Assuming PISA can be used as a proxy for assessing level of relevant skills among pupils</t>
  </si>
  <si>
    <t>- Steve: overcoming teacher shortages is essential also for ensuring universal access to education</t>
  </si>
  <si>
    <t>- Finn: ECEC = Early Childhood Education and Care
- Steve: ECEC = EarlY Childhood and Education Care</t>
  </si>
  <si>
    <t>- Finn: unsure</t>
  </si>
  <si>
    <t>- Meike: about schools but not leraning
- Steve: Not sure, rather vague and no explicit link to SDG 4 or its objectives</t>
  </si>
  <si>
    <t>- Steve: though NEET link not specifically linked to SDG 4</t>
  </si>
  <si>
    <t>- Steve: no explicit link to SDG 4 objectives</t>
  </si>
  <si>
    <t>- Steve: skills development</t>
  </si>
  <si>
    <t>- Finn: VET = Vocational education and training initiatives
- Steve: on VET</t>
  </si>
  <si>
    <t>- Meike: doubtful: is maritime education meant for educating indigenous people, to provide equal access or is it about the ocean</t>
  </si>
  <si>
    <t>- Finn: target 4.c</t>
  </si>
  <si>
    <t>- Meike: not sure how this contributes to a target, more overarching theme</t>
  </si>
  <si>
    <t>- Finn: last sentence: target 4.3/overarching
- Meike: implicit about equality between genders, more about numbers of students
- Steve: 4.5</t>
  </si>
  <si>
    <t>- Meike: about private vs subsidized education
- Steve: no explicit link to SDG 4 objectives</t>
  </si>
  <si>
    <t>- Steve: 4.4</t>
  </si>
  <si>
    <t>- Finn: target 4.4 (weak)</t>
  </si>
  <si>
    <t>- Steve: on developing relevant skills, but quite weak link</t>
  </si>
  <si>
    <t>- Meike: 4.2
- Steve: links to 4.2, but without specific call to action or value towards objective</t>
  </si>
  <si>
    <t>- Steve: though vaguely linked to early childhood development</t>
  </si>
  <si>
    <t>- Finn: target 4.5</t>
  </si>
  <si>
    <t>- Steve: tertiary graduates not explicit enough and not linking to specific objective</t>
  </si>
  <si>
    <t>- Finn: target 4.5 (equal access)</t>
  </si>
  <si>
    <t>- Finn: one sentence on education is tricky</t>
  </si>
  <si>
    <t>- Finn: target 4.4 (weak)
- Steve: not explicit enough as a link to vocational training, not talking about implications of continuing vocational training, not linked specifically to 4.4</t>
  </si>
  <si>
    <t>- Meike: mostly about funding</t>
  </si>
  <si>
    <t>- Steve: 4.6</t>
  </si>
  <si>
    <t>- Steve: Educational equity</t>
  </si>
  <si>
    <t>- Steve: 4.7</t>
  </si>
  <si>
    <t>- Finn: not enough context
- Steve: only vaguely linked to 4.5</t>
  </si>
  <si>
    <t>- Finn: target 4.b (weak)</t>
  </si>
  <si>
    <t>- Steve: relevant skills for employment</t>
  </si>
  <si>
    <t>- Meike: it is about scholarships but not really for developing countries (target 4a)
- Steve: 4.b, though not strictly in deverloping countries context</t>
  </si>
  <si>
    <t>- Steve: more on 9.5</t>
  </si>
  <si>
    <t>- Finn: target 4.c (negative example)</t>
  </si>
  <si>
    <t>id</t>
  </si>
  <si>
    <t>osdg_text_id</t>
  </si>
  <si>
    <t>comment</t>
  </si>
  <si>
    <t>However, in the case of more complex requests for particular data on the environment (e.g. on transboundary watersheds) requiring the collection of specific data, the Ministry may not have the capacity to do so and may not be in a position to fulfil the request. Requests to NAMEM for multiyear data on air quality can be responded to upon payment (a rate is applied per digit of data). If the request asks for information about a person or a company, such information is considered confidential and is not provided to the requester.</t>
  </si>
  <si>
    <t>fix typo</t>
  </si>
  <si>
    <t>With a fixed timetable of regular assessments, Costa Rica might consider alternating the subjects assessed at lower secondary level to enable the evaluation of more of the curriculum, including the more innovative dimensions of education for global citizenship and sustainable development, for example. At no point has the assessment sampled the entire census of schools in a way that would enable school leaders, teachers, students, parents and the local community to understand whether their institution is achieving national learning objectives, or whether it is more or less successful than other similar schools. The national assessment could help teachers understand how the new national competence-based curriculum can be tested in practice and ensure classroom-based assessments are setting the same standards across the country.</t>
  </si>
  <si>
    <t>fixed typo</t>
  </si>
  <si>
    <t>The Magneton track provides for dual cooperation between academic groups and industrial companies. The aim is to transfer technologies resulting from academic research. Grants are up to USD 800 000. A kibbutz (plural kibbutzim) is a collective community in Israel that was traditionally based on agriculture. Today, farming has been partly surpassed by industrial plants and high-tech enterprises.</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</si>
</sst>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sz val="17.0"/>
      <color rgb="FF000000"/>
      <name val="&quot;Arial&quot;"/>
    </font>
    <font>
      <sz val="14.0"/>
      <color theme="1"/>
      <name val="Arial"/>
      <scheme val="minor"/>
    </font>
    <font>
      <color rgb="FF000000"/>
      <name val="&quot;Arial&quot;"/>
    </font>
    <font>
      <color rgb="FF000000"/>
      <name val="Arial"/>
      <scheme val="minor"/>
    </font>
    <font>
      <color theme="1"/>
      <name val="Arial"/>
      <scheme val="minor"/>
    </font>
    <font>
      <b/>
      <u/>
      <sz val="14.0"/>
      <color rgb="FF000000"/>
      <name val="Oswald"/>
    </font>
    <font>
      <u/>
      <color theme="1"/>
      <name val="Arial"/>
      <scheme val="minor"/>
    </font>
    <font>
      <i/>
      <color theme="1"/>
      <name val="Arial"/>
      <scheme val="minor"/>
    </font>
    <font>
      <color theme="1"/>
      <name val="Arial"/>
    </font>
    <font>
      <b/>
      <color rgb="FF000000"/>
      <name val="&quot;Arial&quot;"/>
    </font>
    <font>
      <u/>
      <color rgb="FF0000FF"/>
    </font>
    <font>
      <b/>
      <color theme="1"/>
      <name val="Arial"/>
      <scheme val="minor"/>
    </font>
    <font>
      <sz val="13.0"/>
      <color theme="1"/>
      <name val="Arial"/>
      <scheme val="minor"/>
    </font>
    <font>
      <b/>
      <u/>
      <color theme="1"/>
      <name val="Arial"/>
      <scheme val="minor"/>
    </font>
    <font>
      <b/>
      <color theme="1"/>
      <name val="Calibri"/>
    </font>
    <font>
      <b/>
      <sz val="10.0"/>
      <color theme="1"/>
      <name val="Arial"/>
      <scheme val="minor"/>
    </font>
    <font>
      <color theme="1"/>
      <name val="Calibri"/>
    </font>
    <font>
      <sz val="11.0"/>
      <color theme="1"/>
      <name val="Arial"/>
      <scheme val="minor"/>
    </font>
    <font>
      <b/>
      <color theme="1"/>
      <name val="Arial"/>
    </font>
    <font>
      <b/>
      <sz val="10.0"/>
      <color theme="1"/>
      <name val="Arial"/>
    </font>
    <font>
      <sz val="10.0"/>
      <color theme="1"/>
      <name val="Arial"/>
      <scheme val="minor"/>
    </font>
    <font>
      <sz val="9.0"/>
      <color theme="1"/>
      <name val="Arial"/>
      <scheme val="minor"/>
    </font>
  </fonts>
  <fills count="4">
    <fill>
      <patternFill patternType="none"/>
    </fill>
    <fill>
      <patternFill patternType="lightGray"/>
    </fill>
    <fill>
      <patternFill patternType="solid">
        <fgColor rgb="FFD9EAD3"/>
        <bgColor rgb="FFD9EAD3"/>
      </patternFill>
    </fill>
    <fill>
      <patternFill patternType="solid">
        <fgColor rgb="FFF4CCCC"/>
        <bgColor rgb="FFF4CCCC"/>
      </patternFill>
    </fill>
  </fills>
  <borders count="2">
    <border/>
    <border>
      <left style="thick">
        <color rgb="FF000000"/>
      </left>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5" numFmtId="0" xfId="0" applyAlignment="1" applyFont="1">
      <alignment horizontal="center" readingOrder="0"/>
    </xf>
    <xf borderId="0" fillId="0" fontId="5" numFmtId="0" xfId="0" applyAlignment="1" applyFont="1">
      <alignment readingOrder="0" shrinkToFit="0" vertical="center" wrapText="1"/>
    </xf>
    <xf borderId="0" fillId="0" fontId="7" numFmtId="0" xfId="0" applyAlignment="1" applyFont="1">
      <alignment readingOrder="0"/>
    </xf>
    <xf borderId="0" fillId="0" fontId="5" numFmtId="0" xfId="0" applyAlignment="1" applyFont="1">
      <alignment readingOrder="0"/>
    </xf>
    <xf borderId="0" fillId="0" fontId="8" numFmtId="0" xfId="0" applyAlignment="1" applyFont="1">
      <alignment readingOrder="0"/>
    </xf>
    <xf borderId="0" fillId="0" fontId="9" numFmtId="0" xfId="0" applyAlignment="1" applyFont="1">
      <alignment vertical="bottom"/>
    </xf>
    <xf borderId="0" fillId="0" fontId="9" numFmtId="0" xfId="0" applyAlignment="1" applyFont="1">
      <alignment shrinkToFit="0" vertical="bottom" wrapText="0"/>
    </xf>
    <xf borderId="0" fillId="0" fontId="9" numFmtId="0" xfId="0" applyFont="1"/>
    <xf borderId="0" fillId="0" fontId="5" numFmtId="0" xfId="0" applyAlignment="1" applyFont="1">
      <alignment readingOrder="0" shrinkToFit="0" wrapText="1"/>
    </xf>
    <xf borderId="0" fillId="0" fontId="10" numFmtId="0" xfId="0" applyAlignment="1" applyFont="1">
      <alignment readingOrder="0"/>
    </xf>
    <xf borderId="0" fillId="0" fontId="5" numFmtId="0" xfId="0" applyFont="1"/>
    <xf borderId="0" fillId="0" fontId="11" numFmtId="0" xfId="0" applyAlignment="1" applyFont="1">
      <alignment readingOrder="0"/>
    </xf>
    <xf borderId="0" fillId="0" fontId="12" numFmtId="0" xfId="0" applyAlignment="1" applyFont="1">
      <alignment readingOrder="0"/>
    </xf>
    <xf borderId="0" fillId="0" fontId="0" numFmtId="0" xfId="0" applyAlignment="1" applyFont="1">
      <alignment horizontal="right"/>
    </xf>
    <xf borderId="0" fillId="0" fontId="13" numFmtId="0" xfId="0" applyAlignment="1" applyFont="1">
      <alignment readingOrder="0"/>
    </xf>
    <xf borderId="0" fillId="0" fontId="14" numFmtId="0" xfId="0" applyAlignment="1" applyFont="1">
      <alignment readingOrder="0"/>
    </xf>
    <xf borderId="0" fillId="0" fontId="15" numFmtId="0" xfId="0" applyAlignment="1" applyFont="1">
      <alignment readingOrder="0" vertical="bottom"/>
    </xf>
    <xf borderId="0" fillId="0" fontId="15" numFmtId="0" xfId="0" applyAlignment="1" applyFont="1">
      <alignment readingOrder="0" shrinkToFit="0" vertical="bottom" wrapText="1"/>
    </xf>
    <xf borderId="0" fillId="0" fontId="16" numFmtId="0" xfId="0" applyAlignment="1" applyFont="1">
      <alignment horizontal="center" readingOrder="0" vertical="bottom"/>
    </xf>
    <xf borderId="0" fillId="0" fontId="17" numFmtId="0" xfId="0" applyAlignment="1" applyFont="1">
      <alignment vertical="bottom"/>
    </xf>
    <xf borderId="0" fillId="0" fontId="17" numFmtId="0" xfId="0" applyAlignment="1" applyFont="1">
      <alignment shrinkToFit="0" vertical="bottom" wrapText="1"/>
    </xf>
    <xf borderId="0" fillId="0" fontId="18" numFmtId="0" xfId="0" applyAlignment="1" applyFont="1">
      <alignment horizontal="center" readingOrder="0" vertical="center"/>
    </xf>
    <xf borderId="0" fillId="2" fontId="17" numFmtId="0" xfId="0" applyAlignment="1" applyFill="1" applyFont="1">
      <alignment shrinkToFit="0" vertical="bottom" wrapText="1"/>
    </xf>
    <xf borderId="0" fillId="3" fontId="17" numFmtId="0" xfId="0" applyAlignment="1" applyFill="1" applyFont="1">
      <alignment shrinkToFit="0" vertical="bottom" wrapText="1"/>
    </xf>
    <xf borderId="0" fillId="0" fontId="19" numFmtId="0" xfId="0" applyAlignment="1" applyFont="1">
      <alignment vertical="bottom"/>
    </xf>
    <xf borderId="0" fillId="0" fontId="19" numFmtId="0" xfId="0" applyAlignment="1" applyFont="1">
      <alignment vertical="bottom"/>
    </xf>
    <xf borderId="0" fillId="0" fontId="19" numFmtId="0" xfId="0" applyAlignment="1" applyFont="1">
      <alignment horizontal="right" readingOrder="0" vertical="bottom"/>
    </xf>
    <xf borderId="0" fillId="0" fontId="9" numFmtId="0" xfId="0" applyAlignment="1" applyFont="1">
      <alignment vertical="bottom"/>
    </xf>
    <xf borderId="0" fillId="0" fontId="9" numFmtId="0" xfId="0" applyAlignment="1" applyFont="1">
      <alignment horizontal="right" vertical="bottom"/>
    </xf>
    <xf borderId="0" fillId="0" fontId="9" numFmtId="0" xfId="0" applyAlignment="1" applyFont="1">
      <alignment horizontal="right" vertical="bottom"/>
    </xf>
    <xf borderId="0" fillId="0" fontId="9" numFmtId="0" xfId="0" applyAlignment="1" applyFont="1">
      <alignment horizontal="center" vertical="bottom"/>
    </xf>
    <xf borderId="0" fillId="0" fontId="19" numFmtId="0" xfId="0" applyAlignment="1" applyFont="1">
      <alignment horizontal="center" readingOrder="0" vertical="bottom"/>
    </xf>
    <xf borderId="0" fillId="0" fontId="19" numFmtId="0" xfId="0" applyAlignment="1" applyFont="1">
      <alignment horizontal="center" vertical="bottom"/>
    </xf>
    <xf borderId="0" fillId="0" fontId="20" numFmtId="0" xfId="0" applyAlignment="1" applyFont="1">
      <alignment readingOrder="0" vertical="bottom"/>
    </xf>
    <xf borderId="1" fillId="0" fontId="12" numFmtId="0" xfId="0" applyAlignment="1" applyBorder="1" applyFont="1">
      <alignment horizontal="center" readingOrder="0"/>
    </xf>
    <xf borderId="0" fillId="0" fontId="5" numFmtId="0" xfId="0" applyAlignment="1" applyFont="1">
      <alignment horizontal="center"/>
    </xf>
    <xf borderId="0" fillId="0" fontId="21" numFmtId="10" xfId="0" applyFont="1" applyNumberFormat="1"/>
    <xf borderId="0" fillId="0" fontId="22" numFmtId="10" xfId="0" applyFont="1" applyNumberFormat="1"/>
    <xf borderId="1" fillId="0" fontId="5" numFmtId="0" xfId="0" applyAlignment="1" applyBorder="1" applyFont="1">
      <alignment horizontal="center" readingOrder="0"/>
    </xf>
    <xf borderId="0" fillId="0" fontId="5" numFmtId="0" xfId="0" applyAlignment="1" applyFont="1">
      <alignment horizontal="center" vertical="center"/>
    </xf>
    <xf borderId="0" fillId="0" fontId="5" numFmtId="0" xfId="0" applyAlignment="1" applyFont="1">
      <alignment horizontal="center" readingOrder="0" vertical="center"/>
    </xf>
    <xf borderId="0" fillId="0" fontId="9" numFmtId="0" xfId="0" applyAlignment="1" applyFont="1">
      <alignment readingOrder="0" vertical="bottom"/>
    </xf>
  </cellXfs>
  <cellStyles count="1">
    <cellStyle xfId="0" name="Normal" builtinId="0"/>
  </cellStyles>
  <dxfs count="4">
    <dxf>
      <font/>
      <fill>
        <patternFill patternType="solid">
          <fgColor rgb="FFB7E1CD"/>
          <bgColor rgb="FFB7E1CD"/>
        </patternFill>
      </fill>
      <border/>
    </dxf>
    <dxf>
      <font/>
      <fill>
        <patternFill patternType="solid">
          <fgColor rgb="FFF4C7C3"/>
          <bgColor rgb="FFF4C7C3"/>
        </patternFill>
      </fill>
      <border/>
    </dxf>
    <dxf>
      <font>
        <color rgb="FFB7B7B7"/>
      </font>
      <fill>
        <patternFill patternType="none"/>
      </fill>
      <border/>
    </dxf>
    <dxf>
      <font/>
      <fill>
        <patternFill patternType="solid">
          <fgColor rgb="FF6D9EEB"/>
          <bgColor rgb="FF6D9EE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48</xdr:row>
      <xdr:rowOff>0</xdr:rowOff>
    </xdr:from>
    <xdr:ext cx="1466850" cy="1247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JKCI6yswUKtks84SBjK2OGY4P-cIgkcF/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9.25"/>
    <col customWidth="1" min="3" max="3" width="127.5"/>
  </cols>
  <sheetData>
    <row r="1">
      <c r="A1" s="1"/>
    </row>
    <row r="2">
      <c r="B2" s="2" t="s">
        <v>0</v>
      </c>
    </row>
    <row r="3">
      <c r="B3" s="3"/>
    </row>
    <row r="4">
      <c r="B4" s="4" t="s">
        <v>1</v>
      </c>
    </row>
    <row r="5">
      <c r="B5" s="5" t="s">
        <v>2</v>
      </c>
    </row>
    <row r="6">
      <c r="B6" s="5"/>
    </row>
    <row r="7">
      <c r="B7" s="6" t="s">
        <v>3</v>
      </c>
    </row>
    <row r="8">
      <c r="B8" s="5" t="s">
        <v>4</v>
      </c>
    </row>
    <row r="9">
      <c r="B9" s="5" t="s">
        <v>5</v>
      </c>
    </row>
    <row r="10">
      <c r="B10" s="5" t="s">
        <v>6</v>
      </c>
    </row>
    <row r="11">
      <c r="B11" s="5" t="s">
        <v>7</v>
      </c>
    </row>
    <row r="12">
      <c r="B12" s="5" t="s">
        <v>8</v>
      </c>
    </row>
    <row r="13">
      <c r="B13" s="5"/>
    </row>
    <row r="14">
      <c r="B14" s="6" t="s">
        <v>9</v>
      </c>
    </row>
    <row r="15">
      <c r="B15" s="5" t="s">
        <v>10</v>
      </c>
    </row>
    <row r="16">
      <c r="B16" s="5" t="s">
        <v>11</v>
      </c>
    </row>
    <row r="17">
      <c r="B17" s="5"/>
      <c r="C17" s="5"/>
    </row>
    <row r="18">
      <c r="B18" s="7" t="b">
        <v>1</v>
      </c>
      <c r="C18" s="5" t="s">
        <v>12</v>
      </c>
    </row>
    <row r="19">
      <c r="B19" s="7" t="b">
        <v>0</v>
      </c>
      <c r="C19" s="5" t="s">
        <v>13</v>
      </c>
    </row>
    <row r="20">
      <c r="B20" s="7" t="s">
        <v>14</v>
      </c>
      <c r="C20" s="5" t="s">
        <v>15</v>
      </c>
    </row>
    <row r="22">
      <c r="B22" s="5" t="s">
        <v>16</v>
      </c>
    </row>
    <row r="24">
      <c r="B24" s="6" t="s">
        <v>17</v>
      </c>
    </row>
    <row r="25">
      <c r="B25" s="5" t="s">
        <v>18</v>
      </c>
      <c r="C25" s="8"/>
    </row>
    <row r="26">
      <c r="B26" s="9"/>
      <c r="C26" s="8"/>
    </row>
    <row r="27">
      <c r="B27" s="9" t="s">
        <v>19</v>
      </c>
      <c r="C27" s="8"/>
    </row>
    <row r="28">
      <c r="B28" s="10" t="s">
        <v>20</v>
      </c>
      <c r="C28" s="8"/>
    </row>
    <row r="29">
      <c r="B29" s="5"/>
      <c r="C29" s="8"/>
    </row>
    <row r="30">
      <c r="B30" s="11" t="s">
        <v>21</v>
      </c>
      <c r="C30" s="8"/>
    </row>
    <row r="31">
      <c r="B31" s="5"/>
      <c r="C31" s="8"/>
    </row>
    <row r="32">
      <c r="B32" s="9" t="s">
        <v>22</v>
      </c>
      <c r="C32" s="8"/>
    </row>
    <row r="33">
      <c r="B33" s="5" t="s">
        <v>23</v>
      </c>
      <c r="C33" s="8"/>
    </row>
    <row r="34">
      <c r="B34" s="5" t="s">
        <v>24</v>
      </c>
      <c r="C34" s="8"/>
    </row>
    <row r="35">
      <c r="C35" s="8"/>
    </row>
    <row r="36">
      <c r="B36" s="11" t="s">
        <v>21</v>
      </c>
      <c r="C36" s="8"/>
    </row>
    <row r="37">
      <c r="C37" s="8"/>
    </row>
    <row r="38">
      <c r="B38" s="9" t="s">
        <v>25</v>
      </c>
      <c r="C38" s="8"/>
    </row>
    <row r="39">
      <c r="B39" s="5" t="s">
        <v>26</v>
      </c>
      <c r="C39" s="8"/>
    </row>
    <row r="40">
      <c r="A40" s="12"/>
      <c r="B40" s="13" t="s">
        <v>27</v>
      </c>
      <c r="C40" s="14"/>
      <c r="D40" s="12"/>
      <c r="E40" s="12"/>
      <c r="F40" s="12"/>
      <c r="G40" s="12"/>
      <c r="H40" s="12"/>
      <c r="I40" s="12"/>
      <c r="J40" s="12"/>
      <c r="K40" s="12"/>
      <c r="L40" s="12"/>
      <c r="M40" s="12"/>
      <c r="N40" s="12"/>
      <c r="O40" s="12"/>
      <c r="P40" s="12"/>
      <c r="Q40" s="12"/>
      <c r="R40" s="12"/>
      <c r="S40" s="12"/>
      <c r="T40" s="12"/>
      <c r="U40" s="12"/>
      <c r="V40" s="12"/>
      <c r="W40" s="12"/>
      <c r="X40" s="12"/>
      <c r="Y40" s="12"/>
      <c r="Z40" s="12"/>
    </row>
    <row r="41">
      <c r="C41" s="8"/>
    </row>
    <row r="42">
      <c r="B42" s="9" t="s">
        <v>28</v>
      </c>
      <c r="C42" s="15"/>
    </row>
    <row r="43">
      <c r="B43" s="5" t="s">
        <v>29</v>
      </c>
    </row>
    <row r="44">
      <c r="B44" s="5" t="s">
        <v>30</v>
      </c>
    </row>
    <row r="45">
      <c r="B45" s="16"/>
    </row>
    <row r="46">
      <c r="B46" s="3" t="s">
        <v>31</v>
      </c>
    </row>
    <row r="48">
      <c r="B48" s="6" t="s">
        <v>32</v>
      </c>
    </row>
    <row r="49" ht="453.75" customHeight="1">
      <c r="B49" s="17"/>
    </row>
    <row r="50">
      <c r="B50" s="18" t="s">
        <v>33</v>
      </c>
    </row>
    <row r="52">
      <c r="B52" s="6" t="s">
        <v>34</v>
      </c>
    </row>
    <row r="53">
      <c r="B53" s="5" t="s">
        <v>35</v>
      </c>
    </row>
    <row r="54">
      <c r="B54" s="5"/>
    </row>
    <row r="55">
      <c r="B55" s="19" t="s">
        <v>36</v>
      </c>
      <c r="C55" s="19" t="s">
        <v>37</v>
      </c>
    </row>
    <row r="56">
      <c r="B56" s="18" t="s">
        <v>38</v>
      </c>
      <c r="C56" s="17" t="str">
        <f>IFERROR(__xludf.DUMMYFUNCTION("SPARKLINE((100-COUNTIF(INDIRECT(B56&amp;""!C:C""), ""TO DO""))/100+0.01,{""charttype"",""bar"";""max"",1.01;""min"",0; ""color1"", ""#4285f4""})"),"")</f>
        <v/>
      </c>
      <c r="D56" s="20" t="str">
        <f t="shared" ref="D56:D60" si="1">(100-COUNTIF(INDIRECT(B56&amp;"!C:C"), "TO DO")) &amp; " / 100"</f>
        <v>100 / 100</v>
      </c>
    </row>
    <row r="57">
      <c r="B57" s="18" t="s">
        <v>39</v>
      </c>
      <c r="C57" s="17" t="str">
        <f>IFERROR(__xludf.DUMMYFUNCTION("SPARKLINE((100-COUNTIF(INDIRECT(B57&amp;""!C:C""), ""TO DO""))/100+0.01,{""charttype"",""bar"";""max"",1.01;""min"",0; ""color1"", ""#4285f4""})"),"")</f>
        <v/>
      </c>
      <c r="D57" s="20" t="str">
        <f t="shared" si="1"/>
        <v>0 / 100</v>
      </c>
    </row>
    <row r="58">
      <c r="B58" s="18" t="s">
        <v>40</v>
      </c>
      <c r="C58" s="17" t="str">
        <f>IFERROR(__xludf.DUMMYFUNCTION("SPARKLINE((100-COUNTIF(INDIRECT(B58&amp;""!C:C""), ""TO DO""))/100+0.01,{""charttype"",""bar"";""max"",1.01;""min"",0; ""color1"", ""#4285f4""})"),"")</f>
        <v/>
      </c>
      <c r="D58" s="20" t="str">
        <f t="shared" si="1"/>
        <v>0 / 100</v>
      </c>
    </row>
    <row r="59">
      <c r="B59" s="18" t="s">
        <v>41</v>
      </c>
      <c r="C59" s="17" t="str">
        <f>IFERROR(__xludf.DUMMYFUNCTION("SPARKLINE((100-COUNTIF(INDIRECT(B59&amp;""!C:C""), ""TO DO""))/100+0.01,{""charttype"",""bar"";""max"",1.01;""min"",0; ""color1"", ""#4285f4""})"),"")</f>
        <v/>
      </c>
      <c r="D59" s="20" t="str">
        <f t="shared" si="1"/>
        <v>100 / 100</v>
      </c>
    </row>
    <row r="60">
      <c r="B60" s="18" t="s">
        <v>42</v>
      </c>
      <c r="C60" s="17" t="str">
        <f>IFERROR(__xludf.DUMMYFUNCTION("SPARKLINE((100-COUNTIF(INDIRECT(B60&amp;""!C:C""), ""TO DO""))/100+0.01,{""charttype"",""bar"";""max"",1.01;""min"",0; ""color1"", ""#4285f4""})"),"")</f>
        <v/>
      </c>
      <c r="D60" s="20" t="str">
        <f t="shared" si="1"/>
        <v>100 / 100</v>
      </c>
    </row>
    <row r="62">
      <c r="B62" s="21" t="s">
        <v>43</v>
      </c>
    </row>
    <row r="64">
      <c r="B64" s="6" t="s">
        <v>44</v>
      </c>
    </row>
    <row r="65">
      <c r="B65" s="5" t="s">
        <v>45</v>
      </c>
    </row>
    <row r="66">
      <c r="B66" s="5"/>
    </row>
    <row r="67">
      <c r="B67" s="5" t="s">
        <v>46</v>
      </c>
    </row>
    <row r="68">
      <c r="B68" s="5"/>
    </row>
    <row r="69">
      <c r="B69" s="22" t="s">
        <v>47</v>
      </c>
    </row>
    <row r="70">
      <c r="B70" s="5" t="s">
        <v>48</v>
      </c>
    </row>
    <row r="71">
      <c r="B71" s="5" t="s">
        <v>49</v>
      </c>
    </row>
    <row r="72">
      <c r="B72" s="5" t="s">
        <v>50</v>
      </c>
    </row>
    <row r="73">
      <c r="B73" s="5" t="s">
        <v>51</v>
      </c>
    </row>
    <row r="74">
      <c r="B74" s="5" t="s">
        <v>52</v>
      </c>
    </row>
    <row r="75">
      <c r="B75" s="5" t="s">
        <v>53</v>
      </c>
    </row>
    <row r="76">
      <c r="B76" s="5" t="s">
        <v>54</v>
      </c>
    </row>
    <row r="77">
      <c r="B77" s="5" t="s">
        <v>55</v>
      </c>
    </row>
    <row r="78">
      <c r="B78" s="5" t="s">
        <v>56</v>
      </c>
    </row>
    <row r="79">
      <c r="B79" s="5" t="s">
        <v>57</v>
      </c>
    </row>
    <row r="80">
      <c r="B80" s="5" t="s">
        <v>58</v>
      </c>
    </row>
    <row r="82">
      <c r="B82" s="22" t="s">
        <v>59</v>
      </c>
    </row>
    <row r="83">
      <c r="B83" s="5" t="s">
        <v>60</v>
      </c>
    </row>
    <row r="84">
      <c r="B84" s="5" t="s">
        <v>61</v>
      </c>
    </row>
    <row r="85">
      <c r="B85" s="5" t="s">
        <v>62</v>
      </c>
    </row>
    <row r="86">
      <c r="B86" s="5" t="s">
        <v>63</v>
      </c>
    </row>
    <row r="87">
      <c r="B87" s="5" t="s">
        <v>64</v>
      </c>
    </row>
    <row r="90">
      <c r="B90" s="13"/>
    </row>
    <row r="91">
      <c r="B91" s="13"/>
    </row>
    <row r="92">
      <c r="B92" s="13"/>
    </row>
    <row r="93">
      <c r="B93" s="13"/>
    </row>
    <row r="94">
      <c r="B94" s="13"/>
    </row>
  </sheetData>
  <mergeCells count="1">
    <mergeCell ref="B49:C49"/>
  </mergeCells>
  <dataValidations>
    <dataValidation type="list" allowBlank="1" showErrorMessage="1" sqref="B18:B20">
      <formula1>"TRUE,FALSE,SKIP"</formula1>
    </dataValidation>
  </dataValidations>
  <hyperlinks>
    <hyperlink r:id="rId1" ref="B50"/>
    <hyperlink display="Finn" location="Finn!A1" ref="B56"/>
    <hyperlink display="Gib" location="Gib!A1" ref="B57"/>
    <hyperlink display="Jean-Baptiste" location="'Jean-Baptiste'!A1" ref="B58"/>
    <hyperlink display="Meike" location="Meike!A1" ref="B59"/>
    <hyperlink display="Steve" location="Steve!A1" ref="B6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34.63"/>
  </cols>
  <sheetData>
    <row r="1">
      <c r="A1" s="23" t="s">
        <v>65</v>
      </c>
      <c r="B1" s="24" t="s">
        <v>66</v>
      </c>
      <c r="C1" s="25" t="s">
        <v>67</v>
      </c>
      <c r="D1" s="19" t="s">
        <v>68</v>
      </c>
    </row>
    <row r="2">
      <c r="A2" s="26" t="s">
        <v>69</v>
      </c>
      <c r="B2" s="27" t="s">
        <v>70</v>
      </c>
      <c r="C2" s="28" t="b">
        <v>0</v>
      </c>
    </row>
    <row r="3">
      <c r="A3" s="26" t="s">
        <v>71</v>
      </c>
      <c r="B3" s="27" t="s">
        <v>72</v>
      </c>
      <c r="C3" s="28" t="b">
        <v>1</v>
      </c>
    </row>
    <row r="4">
      <c r="A4" s="26" t="s">
        <v>73</v>
      </c>
      <c r="B4" s="27" t="s">
        <v>74</v>
      </c>
      <c r="C4" s="28" t="b">
        <v>1</v>
      </c>
      <c r="D4" s="5" t="s">
        <v>75</v>
      </c>
    </row>
    <row r="5">
      <c r="A5" s="26" t="s">
        <v>76</v>
      </c>
      <c r="B5" s="27" t="s">
        <v>77</v>
      </c>
      <c r="C5" s="28" t="b">
        <v>1</v>
      </c>
    </row>
    <row r="6">
      <c r="A6" s="26" t="s">
        <v>78</v>
      </c>
      <c r="B6" s="27" t="s">
        <v>79</v>
      </c>
      <c r="C6" s="28" t="b">
        <v>1</v>
      </c>
      <c r="D6" s="5" t="s">
        <v>80</v>
      </c>
    </row>
    <row r="7">
      <c r="A7" s="26" t="s">
        <v>81</v>
      </c>
      <c r="B7" s="27" t="s">
        <v>82</v>
      </c>
      <c r="C7" s="28" t="b">
        <v>0</v>
      </c>
    </row>
    <row r="8">
      <c r="A8" s="26" t="s">
        <v>83</v>
      </c>
      <c r="B8" s="27" t="s">
        <v>84</v>
      </c>
      <c r="C8" s="28" t="b">
        <v>0</v>
      </c>
    </row>
    <row r="9">
      <c r="A9" s="26" t="s">
        <v>85</v>
      </c>
      <c r="B9" s="27" t="s">
        <v>86</v>
      </c>
      <c r="C9" s="28" t="b">
        <v>0</v>
      </c>
    </row>
    <row r="10">
      <c r="A10" s="26" t="s">
        <v>87</v>
      </c>
      <c r="B10" s="27" t="s">
        <v>88</v>
      </c>
      <c r="C10" s="28" t="b">
        <v>1</v>
      </c>
    </row>
    <row r="11">
      <c r="A11" s="26" t="s">
        <v>89</v>
      </c>
      <c r="B11" s="27" t="s">
        <v>90</v>
      </c>
      <c r="C11" s="28" t="b">
        <v>1</v>
      </c>
    </row>
    <row r="12">
      <c r="A12" s="26" t="s">
        <v>91</v>
      </c>
      <c r="B12" s="27" t="s">
        <v>92</v>
      </c>
      <c r="C12" s="28" t="b">
        <v>1</v>
      </c>
    </row>
    <row r="13">
      <c r="A13" s="26" t="s">
        <v>93</v>
      </c>
      <c r="B13" s="27" t="s">
        <v>94</v>
      </c>
      <c r="C13" s="28" t="b">
        <v>1</v>
      </c>
    </row>
    <row r="14">
      <c r="A14" s="26" t="s">
        <v>95</v>
      </c>
      <c r="B14" s="27" t="s">
        <v>96</v>
      </c>
      <c r="C14" s="28" t="b">
        <v>0</v>
      </c>
    </row>
    <row r="15">
      <c r="A15" s="26" t="s">
        <v>97</v>
      </c>
      <c r="B15" s="27" t="s">
        <v>98</v>
      </c>
      <c r="C15" s="28" t="b">
        <v>0</v>
      </c>
    </row>
    <row r="16">
      <c r="A16" s="26" t="s">
        <v>99</v>
      </c>
      <c r="B16" s="27" t="s">
        <v>100</v>
      </c>
      <c r="C16" s="28" t="b">
        <v>1</v>
      </c>
    </row>
    <row r="17">
      <c r="A17" s="26" t="s">
        <v>101</v>
      </c>
      <c r="B17" s="27" t="s">
        <v>102</v>
      </c>
      <c r="C17" s="28" t="b">
        <v>1</v>
      </c>
      <c r="D17" s="5" t="s">
        <v>103</v>
      </c>
    </row>
    <row r="18">
      <c r="A18" s="26" t="s">
        <v>104</v>
      </c>
      <c r="B18" s="27" t="s">
        <v>105</v>
      </c>
      <c r="C18" s="28" t="b">
        <v>1</v>
      </c>
      <c r="D18" s="5" t="s">
        <v>106</v>
      </c>
    </row>
    <row r="19">
      <c r="A19" s="26" t="s">
        <v>107</v>
      </c>
      <c r="B19" s="27" t="s">
        <v>108</v>
      </c>
      <c r="C19" s="28" t="b">
        <v>0</v>
      </c>
    </row>
    <row r="20">
      <c r="A20" s="26" t="s">
        <v>109</v>
      </c>
      <c r="B20" s="27" t="s">
        <v>110</v>
      </c>
      <c r="C20" s="28" t="b">
        <v>0</v>
      </c>
    </row>
    <row r="21">
      <c r="A21" s="26" t="s">
        <v>111</v>
      </c>
      <c r="B21" s="27" t="s">
        <v>112</v>
      </c>
      <c r="C21" s="28" t="b">
        <v>1</v>
      </c>
      <c r="D21" s="5" t="s">
        <v>113</v>
      </c>
    </row>
    <row r="22">
      <c r="A22" s="26" t="s">
        <v>114</v>
      </c>
      <c r="B22" s="27" t="s">
        <v>115</v>
      </c>
      <c r="C22" s="28" t="b">
        <v>0</v>
      </c>
    </row>
    <row r="23">
      <c r="A23" s="26" t="s">
        <v>116</v>
      </c>
      <c r="B23" s="27" t="s">
        <v>117</v>
      </c>
      <c r="C23" s="28" t="b">
        <v>0</v>
      </c>
    </row>
    <row r="24">
      <c r="A24" s="26" t="s">
        <v>118</v>
      </c>
      <c r="B24" s="27" t="s">
        <v>119</v>
      </c>
      <c r="C24" s="28" t="b">
        <v>1</v>
      </c>
      <c r="D24" s="5" t="s">
        <v>120</v>
      </c>
    </row>
    <row r="25">
      <c r="A25" s="26" t="s">
        <v>121</v>
      </c>
      <c r="B25" s="27" t="s">
        <v>122</v>
      </c>
      <c r="C25" s="28" t="b">
        <v>1</v>
      </c>
    </row>
    <row r="26">
      <c r="A26" s="26" t="s">
        <v>123</v>
      </c>
      <c r="B26" s="27" t="s">
        <v>124</v>
      </c>
      <c r="C26" s="28" t="b">
        <v>1</v>
      </c>
      <c r="D26" s="5" t="s">
        <v>125</v>
      </c>
    </row>
    <row r="27">
      <c r="A27" s="26" t="s">
        <v>126</v>
      </c>
      <c r="B27" s="27" t="s">
        <v>127</v>
      </c>
      <c r="C27" s="28" t="b">
        <v>0</v>
      </c>
    </row>
    <row r="28">
      <c r="A28" s="26" t="s">
        <v>128</v>
      </c>
      <c r="B28" s="27" t="s">
        <v>129</v>
      </c>
      <c r="C28" s="28" t="b">
        <v>0</v>
      </c>
    </row>
    <row r="29">
      <c r="A29" s="26" t="s">
        <v>130</v>
      </c>
      <c r="B29" s="27" t="s">
        <v>131</v>
      </c>
      <c r="C29" s="28" t="b">
        <v>0</v>
      </c>
    </row>
    <row r="30">
      <c r="A30" s="26" t="s">
        <v>132</v>
      </c>
      <c r="B30" s="27" t="s">
        <v>133</v>
      </c>
      <c r="C30" s="28" t="b">
        <v>1</v>
      </c>
      <c r="D30" s="5" t="s">
        <v>134</v>
      </c>
    </row>
    <row r="31">
      <c r="A31" s="26" t="s">
        <v>135</v>
      </c>
      <c r="B31" s="27" t="s">
        <v>136</v>
      </c>
      <c r="C31" s="28" t="b">
        <v>0</v>
      </c>
    </row>
    <row r="32">
      <c r="A32" s="26" t="s">
        <v>137</v>
      </c>
      <c r="B32" s="27" t="s">
        <v>138</v>
      </c>
      <c r="C32" s="28" t="b">
        <v>1</v>
      </c>
    </row>
    <row r="33">
      <c r="A33" s="26" t="s">
        <v>139</v>
      </c>
      <c r="B33" s="27" t="s">
        <v>140</v>
      </c>
      <c r="C33" s="28" t="b">
        <v>0</v>
      </c>
    </row>
    <row r="34">
      <c r="A34" s="26" t="s">
        <v>141</v>
      </c>
      <c r="B34" s="27" t="s">
        <v>142</v>
      </c>
      <c r="C34" s="28" t="b">
        <v>0</v>
      </c>
    </row>
    <row r="35">
      <c r="A35" s="26" t="s">
        <v>143</v>
      </c>
      <c r="B35" s="27" t="s">
        <v>144</v>
      </c>
      <c r="C35" s="28" t="b">
        <v>0</v>
      </c>
    </row>
    <row r="36">
      <c r="A36" s="26" t="s">
        <v>145</v>
      </c>
      <c r="B36" s="27" t="s">
        <v>146</v>
      </c>
      <c r="C36" s="28" t="b">
        <v>1</v>
      </c>
    </row>
    <row r="37">
      <c r="A37" s="26" t="s">
        <v>147</v>
      </c>
      <c r="B37" s="27" t="s">
        <v>148</v>
      </c>
      <c r="C37" s="28" t="b">
        <v>0</v>
      </c>
    </row>
    <row r="38">
      <c r="A38" s="26" t="s">
        <v>149</v>
      </c>
      <c r="B38" s="27" t="s">
        <v>150</v>
      </c>
      <c r="C38" s="28" t="b">
        <v>0</v>
      </c>
    </row>
    <row r="39">
      <c r="A39" s="26" t="s">
        <v>151</v>
      </c>
      <c r="B39" s="27" t="s">
        <v>152</v>
      </c>
      <c r="C39" s="28" t="b">
        <v>1</v>
      </c>
    </row>
    <row r="40">
      <c r="A40" s="26" t="s">
        <v>153</v>
      </c>
      <c r="B40" s="27" t="s">
        <v>154</v>
      </c>
      <c r="C40" s="28" t="b">
        <v>0</v>
      </c>
    </row>
    <row r="41">
      <c r="A41" s="26" t="s">
        <v>155</v>
      </c>
      <c r="B41" s="27" t="s">
        <v>156</v>
      </c>
      <c r="C41" s="28" t="b">
        <v>0</v>
      </c>
    </row>
    <row r="42">
      <c r="A42" s="26" t="s">
        <v>157</v>
      </c>
      <c r="B42" s="27" t="s">
        <v>158</v>
      </c>
      <c r="C42" s="28" t="b">
        <v>1</v>
      </c>
    </row>
    <row r="43">
      <c r="A43" s="26" t="s">
        <v>159</v>
      </c>
      <c r="B43" s="27" t="s">
        <v>160</v>
      </c>
      <c r="C43" s="28" t="b">
        <v>1</v>
      </c>
    </row>
    <row r="44">
      <c r="A44" s="26" t="s">
        <v>161</v>
      </c>
      <c r="B44" s="27" t="s">
        <v>162</v>
      </c>
      <c r="C44" s="28" t="b">
        <v>1</v>
      </c>
    </row>
    <row r="45">
      <c r="A45" s="26" t="s">
        <v>163</v>
      </c>
      <c r="B45" s="27" t="s">
        <v>164</v>
      </c>
      <c r="C45" s="28" t="b">
        <v>0</v>
      </c>
    </row>
    <row r="46">
      <c r="A46" s="26" t="s">
        <v>165</v>
      </c>
      <c r="B46" s="27" t="s">
        <v>166</v>
      </c>
      <c r="C46" s="28" t="b">
        <v>1</v>
      </c>
    </row>
    <row r="47">
      <c r="A47" s="26" t="s">
        <v>167</v>
      </c>
      <c r="B47" s="27" t="s">
        <v>168</v>
      </c>
      <c r="C47" s="28" t="b">
        <v>1</v>
      </c>
    </row>
    <row r="48">
      <c r="A48" s="26" t="s">
        <v>169</v>
      </c>
      <c r="B48" s="27" t="s">
        <v>170</v>
      </c>
      <c r="C48" s="28" t="b">
        <v>0</v>
      </c>
    </row>
    <row r="49">
      <c r="A49" s="26" t="s">
        <v>171</v>
      </c>
      <c r="B49" s="27" t="s">
        <v>172</v>
      </c>
      <c r="C49" s="28" t="b">
        <v>0</v>
      </c>
    </row>
    <row r="50">
      <c r="A50" s="26" t="s">
        <v>173</v>
      </c>
      <c r="B50" s="27" t="s">
        <v>174</v>
      </c>
      <c r="C50" s="28" t="b">
        <v>1</v>
      </c>
    </row>
    <row r="51">
      <c r="A51" s="26" t="s">
        <v>175</v>
      </c>
      <c r="B51" s="27" t="s">
        <v>176</v>
      </c>
      <c r="C51" s="28" t="b">
        <v>1</v>
      </c>
    </row>
    <row r="52">
      <c r="A52" s="26" t="s">
        <v>177</v>
      </c>
      <c r="B52" s="27" t="s">
        <v>178</v>
      </c>
      <c r="C52" s="28" t="b">
        <v>1</v>
      </c>
      <c r="D52" s="5" t="s">
        <v>179</v>
      </c>
    </row>
    <row r="53">
      <c r="A53" s="26" t="s">
        <v>180</v>
      </c>
      <c r="B53" s="27" t="s">
        <v>181</v>
      </c>
      <c r="C53" s="28" t="b">
        <v>1</v>
      </c>
    </row>
    <row r="54">
      <c r="A54" s="26" t="s">
        <v>182</v>
      </c>
      <c r="B54" s="27" t="s">
        <v>183</v>
      </c>
      <c r="C54" s="28" t="b">
        <v>0</v>
      </c>
      <c r="D54" s="5" t="s">
        <v>184</v>
      </c>
    </row>
    <row r="55">
      <c r="A55" s="26" t="s">
        <v>185</v>
      </c>
      <c r="B55" s="27" t="s">
        <v>186</v>
      </c>
      <c r="C55" s="28" t="b">
        <v>1</v>
      </c>
    </row>
    <row r="56">
      <c r="A56" s="26" t="s">
        <v>187</v>
      </c>
      <c r="B56" s="27" t="s">
        <v>188</v>
      </c>
      <c r="C56" s="28" t="b">
        <v>1</v>
      </c>
    </row>
    <row r="57">
      <c r="A57" s="26" t="s">
        <v>189</v>
      </c>
      <c r="B57" s="27" t="s">
        <v>190</v>
      </c>
      <c r="C57" s="28" t="b">
        <v>1</v>
      </c>
    </row>
    <row r="58">
      <c r="A58" s="26" t="s">
        <v>191</v>
      </c>
      <c r="B58" s="27" t="s">
        <v>192</v>
      </c>
      <c r="C58" s="28" t="b">
        <v>0</v>
      </c>
    </row>
    <row r="59">
      <c r="A59" s="26" t="s">
        <v>193</v>
      </c>
      <c r="B59" s="27" t="s">
        <v>194</v>
      </c>
      <c r="C59" s="28" t="b">
        <v>1</v>
      </c>
    </row>
    <row r="60">
      <c r="A60" s="26" t="s">
        <v>195</v>
      </c>
      <c r="B60" s="27" t="s">
        <v>196</v>
      </c>
      <c r="C60" s="28" t="b">
        <v>0</v>
      </c>
    </row>
    <row r="61">
      <c r="A61" s="26" t="s">
        <v>197</v>
      </c>
      <c r="B61" s="27" t="s">
        <v>198</v>
      </c>
      <c r="C61" s="28" t="b">
        <v>0</v>
      </c>
      <c r="D61" s="5" t="s">
        <v>199</v>
      </c>
    </row>
    <row r="62">
      <c r="A62" s="26" t="s">
        <v>200</v>
      </c>
      <c r="B62" s="27" t="s">
        <v>201</v>
      </c>
      <c r="C62" s="28" t="b">
        <v>0</v>
      </c>
    </row>
    <row r="63">
      <c r="A63" s="26" t="s">
        <v>202</v>
      </c>
      <c r="B63" s="27" t="s">
        <v>203</v>
      </c>
      <c r="C63" s="28" t="b">
        <v>0</v>
      </c>
    </row>
    <row r="64">
      <c r="A64" s="26" t="s">
        <v>204</v>
      </c>
      <c r="B64" s="27" t="s">
        <v>205</v>
      </c>
      <c r="C64" s="28" t="b">
        <v>1</v>
      </c>
    </row>
    <row r="65">
      <c r="A65" s="26" t="s">
        <v>206</v>
      </c>
      <c r="B65" s="27" t="s">
        <v>207</v>
      </c>
      <c r="C65" s="28" t="b">
        <v>1</v>
      </c>
      <c r="D65" s="5" t="s">
        <v>208</v>
      </c>
    </row>
    <row r="66">
      <c r="A66" s="26" t="s">
        <v>209</v>
      </c>
      <c r="B66" s="27" t="s">
        <v>210</v>
      </c>
      <c r="C66" s="28" t="b">
        <v>0</v>
      </c>
    </row>
    <row r="67">
      <c r="A67" s="26" t="s">
        <v>211</v>
      </c>
      <c r="B67" s="27" t="s">
        <v>212</v>
      </c>
      <c r="C67" s="28" t="b">
        <v>1</v>
      </c>
    </row>
    <row r="68">
      <c r="A68" s="26" t="s">
        <v>213</v>
      </c>
      <c r="B68" s="27" t="s">
        <v>214</v>
      </c>
      <c r="C68" s="28" t="b">
        <v>0</v>
      </c>
    </row>
    <row r="69">
      <c r="A69" s="26" t="s">
        <v>215</v>
      </c>
      <c r="B69" s="27" t="s">
        <v>216</v>
      </c>
      <c r="C69" s="28" t="b">
        <v>0</v>
      </c>
    </row>
    <row r="70">
      <c r="A70" s="26" t="s">
        <v>217</v>
      </c>
      <c r="B70" s="27" t="s">
        <v>218</v>
      </c>
      <c r="C70" s="28" t="b">
        <v>0</v>
      </c>
    </row>
    <row r="71">
      <c r="A71" s="26" t="s">
        <v>219</v>
      </c>
      <c r="B71" s="27" t="s">
        <v>220</v>
      </c>
      <c r="C71" s="28" t="b">
        <v>1</v>
      </c>
    </row>
    <row r="72">
      <c r="A72" s="26" t="s">
        <v>221</v>
      </c>
      <c r="B72" s="27" t="s">
        <v>222</v>
      </c>
      <c r="C72" s="28" t="b">
        <v>1</v>
      </c>
    </row>
    <row r="73">
      <c r="A73" s="26" t="s">
        <v>223</v>
      </c>
      <c r="B73" s="27" t="s">
        <v>224</v>
      </c>
      <c r="C73" s="28" t="b">
        <v>0</v>
      </c>
    </row>
    <row r="74">
      <c r="A74" s="26" t="s">
        <v>225</v>
      </c>
      <c r="B74" s="27" t="s">
        <v>226</v>
      </c>
      <c r="C74" s="28" t="b">
        <v>0</v>
      </c>
    </row>
    <row r="75">
      <c r="A75" s="26" t="s">
        <v>227</v>
      </c>
      <c r="B75" s="27" t="s">
        <v>228</v>
      </c>
      <c r="C75" s="28" t="b">
        <v>0</v>
      </c>
    </row>
    <row r="76">
      <c r="A76" s="26" t="s">
        <v>229</v>
      </c>
      <c r="B76" s="27" t="s">
        <v>230</v>
      </c>
      <c r="C76" s="28" t="b">
        <v>1</v>
      </c>
    </row>
    <row r="77">
      <c r="A77" s="26" t="s">
        <v>231</v>
      </c>
      <c r="B77" s="27" t="s">
        <v>232</v>
      </c>
      <c r="C77" s="28" t="b">
        <v>1</v>
      </c>
      <c r="D77" s="5" t="s">
        <v>179</v>
      </c>
    </row>
    <row r="78">
      <c r="A78" s="26" t="s">
        <v>233</v>
      </c>
      <c r="B78" s="27" t="s">
        <v>234</v>
      </c>
      <c r="C78" s="28" t="b">
        <v>1</v>
      </c>
    </row>
    <row r="79">
      <c r="A79" s="26" t="s">
        <v>235</v>
      </c>
      <c r="B79" s="27" t="s">
        <v>236</v>
      </c>
      <c r="C79" s="28" t="b">
        <v>1</v>
      </c>
    </row>
    <row r="80">
      <c r="A80" s="26" t="s">
        <v>237</v>
      </c>
      <c r="B80" s="27" t="s">
        <v>238</v>
      </c>
      <c r="C80" s="28" t="b">
        <v>1</v>
      </c>
    </row>
    <row r="81">
      <c r="A81" s="26" t="s">
        <v>239</v>
      </c>
      <c r="B81" s="27" t="s">
        <v>240</v>
      </c>
      <c r="C81" s="28" t="b">
        <v>1</v>
      </c>
    </row>
    <row r="82">
      <c r="A82" s="26" t="s">
        <v>241</v>
      </c>
      <c r="B82" s="27" t="s">
        <v>242</v>
      </c>
      <c r="C82" s="28" t="b">
        <v>0</v>
      </c>
    </row>
    <row r="83">
      <c r="A83" s="26" t="s">
        <v>243</v>
      </c>
      <c r="B83" s="27" t="s">
        <v>244</v>
      </c>
      <c r="C83" s="28" t="b">
        <v>0</v>
      </c>
    </row>
    <row r="84">
      <c r="A84" s="26" t="s">
        <v>245</v>
      </c>
      <c r="B84" s="27" t="s">
        <v>246</v>
      </c>
      <c r="C84" s="28" t="b">
        <v>1</v>
      </c>
    </row>
    <row r="85">
      <c r="A85" s="26" t="s">
        <v>247</v>
      </c>
      <c r="B85" s="27" t="s">
        <v>248</v>
      </c>
      <c r="C85" s="28" t="b">
        <v>0</v>
      </c>
    </row>
    <row r="86">
      <c r="A86" s="26" t="s">
        <v>249</v>
      </c>
      <c r="B86" s="27" t="s">
        <v>250</v>
      </c>
      <c r="C86" s="28" t="b">
        <v>0</v>
      </c>
    </row>
    <row r="87">
      <c r="A87" s="26" t="s">
        <v>251</v>
      </c>
      <c r="B87" s="27" t="s">
        <v>252</v>
      </c>
      <c r="C87" s="28" t="b">
        <v>0</v>
      </c>
    </row>
    <row r="88">
      <c r="A88" s="26" t="s">
        <v>253</v>
      </c>
      <c r="B88" s="27" t="s">
        <v>254</v>
      </c>
      <c r="C88" s="28" t="b">
        <v>1</v>
      </c>
      <c r="D88" s="5" t="s">
        <v>255</v>
      </c>
    </row>
    <row r="89">
      <c r="A89" s="26" t="s">
        <v>256</v>
      </c>
      <c r="B89" s="27" t="s">
        <v>257</v>
      </c>
      <c r="C89" s="28" t="b">
        <v>1</v>
      </c>
    </row>
    <row r="90">
      <c r="A90" s="26" t="s">
        <v>258</v>
      </c>
      <c r="B90" s="27" t="s">
        <v>259</v>
      </c>
      <c r="C90" s="28" t="b">
        <v>1</v>
      </c>
    </row>
    <row r="91">
      <c r="A91" s="26" t="s">
        <v>260</v>
      </c>
      <c r="B91" s="27" t="s">
        <v>261</v>
      </c>
      <c r="C91" s="28" t="b">
        <v>1</v>
      </c>
      <c r="D91" s="5" t="s">
        <v>75</v>
      </c>
    </row>
    <row r="92">
      <c r="A92" s="26" t="s">
        <v>262</v>
      </c>
      <c r="B92" s="27" t="s">
        <v>263</v>
      </c>
      <c r="C92" s="28" t="b">
        <v>1</v>
      </c>
    </row>
    <row r="93">
      <c r="A93" s="26" t="s">
        <v>264</v>
      </c>
      <c r="B93" s="27" t="s">
        <v>265</v>
      </c>
      <c r="C93" s="28" t="b">
        <v>1</v>
      </c>
    </row>
    <row r="94">
      <c r="A94" s="26" t="s">
        <v>266</v>
      </c>
      <c r="B94" s="27" t="s">
        <v>267</v>
      </c>
      <c r="C94" s="28" t="s">
        <v>14</v>
      </c>
    </row>
    <row r="95">
      <c r="A95" s="26" t="s">
        <v>268</v>
      </c>
      <c r="B95" s="27" t="s">
        <v>269</v>
      </c>
      <c r="C95" s="28" t="b">
        <v>0</v>
      </c>
    </row>
    <row r="96">
      <c r="A96" s="26" t="s">
        <v>270</v>
      </c>
      <c r="B96" s="27" t="s">
        <v>271</v>
      </c>
      <c r="C96" s="28" t="b">
        <v>0</v>
      </c>
    </row>
    <row r="97">
      <c r="A97" s="26" t="s">
        <v>272</v>
      </c>
      <c r="B97" s="27" t="s">
        <v>273</v>
      </c>
      <c r="C97" s="28" t="b">
        <v>0</v>
      </c>
    </row>
    <row r="98">
      <c r="A98" s="26" t="s">
        <v>274</v>
      </c>
      <c r="B98" s="27" t="s">
        <v>275</v>
      </c>
      <c r="C98" s="28" t="b">
        <v>1</v>
      </c>
    </row>
    <row r="99">
      <c r="A99" s="26" t="s">
        <v>276</v>
      </c>
      <c r="B99" s="27" t="s">
        <v>277</v>
      </c>
      <c r="C99" s="28" t="b">
        <v>0</v>
      </c>
    </row>
    <row r="100">
      <c r="A100" s="26" t="s">
        <v>278</v>
      </c>
      <c r="B100" s="27" t="s">
        <v>279</v>
      </c>
      <c r="C100" s="28" t="b">
        <v>0</v>
      </c>
    </row>
    <row r="101">
      <c r="A101" s="26" t="s">
        <v>280</v>
      </c>
      <c r="B101" s="27" t="s">
        <v>281</v>
      </c>
      <c r="C101" s="28" t="b">
        <v>0</v>
      </c>
    </row>
  </sheetData>
  <dataValidations>
    <dataValidation type="list" allowBlank="1" showErrorMessage="1" sqref="C2:C101">
      <formula1>"TO DO,TRUE,FALSE,SKIP"</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60.63"/>
  </cols>
  <sheetData>
    <row r="1">
      <c r="A1" s="23" t="s">
        <v>65</v>
      </c>
      <c r="B1" s="24" t="s">
        <v>66</v>
      </c>
      <c r="C1" s="25" t="s">
        <v>67</v>
      </c>
      <c r="D1" s="19" t="s">
        <v>68</v>
      </c>
    </row>
    <row r="2">
      <c r="A2" s="26" t="s">
        <v>211</v>
      </c>
      <c r="B2" s="27" t="s">
        <v>212</v>
      </c>
      <c r="C2" s="28" t="s">
        <v>282</v>
      </c>
    </row>
    <row r="3">
      <c r="A3" s="26" t="s">
        <v>141</v>
      </c>
      <c r="B3" s="27" t="s">
        <v>142</v>
      </c>
      <c r="C3" s="28" t="s">
        <v>282</v>
      </c>
    </row>
    <row r="4">
      <c r="A4" s="26" t="s">
        <v>272</v>
      </c>
      <c r="B4" s="27" t="s">
        <v>273</v>
      </c>
      <c r="C4" s="28" t="s">
        <v>282</v>
      </c>
    </row>
    <row r="5">
      <c r="A5" s="26" t="s">
        <v>256</v>
      </c>
      <c r="B5" s="27" t="s">
        <v>257</v>
      </c>
      <c r="C5" s="28" t="s">
        <v>282</v>
      </c>
    </row>
    <row r="6">
      <c r="A6" s="26" t="s">
        <v>83</v>
      </c>
      <c r="B6" s="27" t="s">
        <v>84</v>
      </c>
      <c r="C6" s="28" t="s">
        <v>282</v>
      </c>
    </row>
    <row r="7">
      <c r="A7" s="26" t="s">
        <v>78</v>
      </c>
      <c r="B7" s="27" t="s">
        <v>79</v>
      </c>
      <c r="C7" s="28" t="s">
        <v>282</v>
      </c>
    </row>
    <row r="8">
      <c r="A8" s="26" t="s">
        <v>149</v>
      </c>
      <c r="B8" s="27" t="s">
        <v>150</v>
      </c>
      <c r="C8" s="28" t="s">
        <v>282</v>
      </c>
    </row>
    <row r="9">
      <c r="A9" s="26" t="s">
        <v>130</v>
      </c>
      <c r="B9" s="27" t="s">
        <v>131</v>
      </c>
      <c r="C9" s="28" t="s">
        <v>282</v>
      </c>
    </row>
    <row r="10">
      <c r="A10" s="26" t="s">
        <v>202</v>
      </c>
      <c r="B10" s="27" t="s">
        <v>203</v>
      </c>
      <c r="C10" s="28" t="s">
        <v>282</v>
      </c>
    </row>
    <row r="11">
      <c r="A11" s="26" t="s">
        <v>227</v>
      </c>
      <c r="B11" s="27" t="s">
        <v>228</v>
      </c>
      <c r="C11" s="28" t="s">
        <v>282</v>
      </c>
    </row>
    <row r="12">
      <c r="A12" s="26" t="s">
        <v>268</v>
      </c>
      <c r="B12" s="27" t="s">
        <v>269</v>
      </c>
      <c r="C12" s="28" t="s">
        <v>282</v>
      </c>
    </row>
    <row r="13">
      <c r="A13" s="26" t="s">
        <v>180</v>
      </c>
      <c r="B13" s="27" t="s">
        <v>181</v>
      </c>
      <c r="C13" s="28" t="s">
        <v>282</v>
      </c>
    </row>
    <row r="14">
      <c r="A14" s="26" t="s">
        <v>99</v>
      </c>
      <c r="B14" s="27" t="s">
        <v>100</v>
      </c>
      <c r="C14" s="28" t="s">
        <v>282</v>
      </c>
    </row>
    <row r="15">
      <c r="A15" s="26" t="s">
        <v>270</v>
      </c>
      <c r="B15" s="27" t="s">
        <v>271</v>
      </c>
      <c r="C15" s="28" t="s">
        <v>282</v>
      </c>
    </row>
    <row r="16">
      <c r="A16" s="26" t="s">
        <v>206</v>
      </c>
      <c r="B16" s="27" t="s">
        <v>207</v>
      </c>
      <c r="C16" s="28" t="s">
        <v>282</v>
      </c>
    </row>
    <row r="17">
      <c r="A17" s="26" t="s">
        <v>235</v>
      </c>
      <c r="B17" s="27" t="s">
        <v>236</v>
      </c>
      <c r="C17" s="28" t="s">
        <v>282</v>
      </c>
    </row>
    <row r="18">
      <c r="A18" s="26" t="s">
        <v>95</v>
      </c>
      <c r="B18" s="27" t="s">
        <v>96</v>
      </c>
      <c r="C18" s="28" t="s">
        <v>282</v>
      </c>
    </row>
    <row r="19">
      <c r="A19" s="26" t="s">
        <v>249</v>
      </c>
      <c r="B19" s="27" t="s">
        <v>250</v>
      </c>
      <c r="C19" s="28" t="s">
        <v>282</v>
      </c>
    </row>
    <row r="20">
      <c r="A20" s="26" t="s">
        <v>221</v>
      </c>
      <c r="B20" s="27" t="s">
        <v>222</v>
      </c>
      <c r="C20" s="28" t="s">
        <v>282</v>
      </c>
    </row>
    <row r="21">
      <c r="A21" s="26" t="s">
        <v>132</v>
      </c>
      <c r="B21" s="27" t="s">
        <v>133</v>
      </c>
      <c r="C21" s="28" t="s">
        <v>282</v>
      </c>
    </row>
    <row r="22">
      <c r="A22" s="26" t="s">
        <v>114</v>
      </c>
      <c r="B22" s="27" t="s">
        <v>115</v>
      </c>
      <c r="C22" s="28" t="s">
        <v>282</v>
      </c>
    </row>
    <row r="23">
      <c r="A23" s="26" t="s">
        <v>213</v>
      </c>
      <c r="B23" s="27" t="s">
        <v>214</v>
      </c>
      <c r="C23" s="28" t="s">
        <v>282</v>
      </c>
    </row>
    <row r="24">
      <c r="A24" s="26" t="s">
        <v>161</v>
      </c>
      <c r="B24" s="27" t="s">
        <v>162</v>
      </c>
      <c r="C24" s="28" t="s">
        <v>282</v>
      </c>
    </row>
    <row r="25">
      <c r="A25" s="26" t="s">
        <v>182</v>
      </c>
      <c r="B25" s="27" t="s">
        <v>183</v>
      </c>
      <c r="C25" s="28" t="s">
        <v>282</v>
      </c>
    </row>
    <row r="26">
      <c r="A26" s="26" t="s">
        <v>145</v>
      </c>
      <c r="B26" s="27" t="s">
        <v>146</v>
      </c>
      <c r="C26" s="28" t="s">
        <v>282</v>
      </c>
    </row>
    <row r="27">
      <c r="A27" s="26" t="s">
        <v>266</v>
      </c>
      <c r="B27" s="27" t="s">
        <v>267</v>
      </c>
      <c r="C27" s="28" t="s">
        <v>282</v>
      </c>
    </row>
    <row r="28">
      <c r="A28" s="26" t="s">
        <v>258</v>
      </c>
      <c r="B28" s="27" t="s">
        <v>259</v>
      </c>
      <c r="C28" s="28" t="s">
        <v>282</v>
      </c>
    </row>
    <row r="29">
      <c r="A29" s="26" t="s">
        <v>69</v>
      </c>
      <c r="B29" s="27" t="s">
        <v>70</v>
      </c>
      <c r="C29" s="28" t="s">
        <v>282</v>
      </c>
    </row>
    <row r="30">
      <c r="A30" s="26" t="s">
        <v>185</v>
      </c>
      <c r="B30" s="27" t="s">
        <v>186</v>
      </c>
      <c r="C30" s="28" t="s">
        <v>282</v>
      </c>
    </row>
    <row r="31">
      <c r="A31" s="26" t="s">
        <v>107</v>
      </c>
      <c r="B31" s="27" t="s">
        <v>108</v>
      </c>
      <c r="C31" s="28" t="s">
        <v>282</v>
      </c>
    </row>
    <row r="32">
      <c r="A32" s="26" t="s">
        <v>204</v>
      </c>
      <c r="B32" s="27" t="s">
        <v>205</v>
      </c>
      <c r="C32" s="28" t="s">
        <v>282</v>
      </c>
    </row>
    <row r="33">
      <c r="A33" s="26" t="s">
        <v>233</v>
      </c>
      <c r="B33" s="27" t="s">
        <v>234</v>
      </c>
      <c r="C33" s="28" t="s">
        <v>282</v>
      </c>
    </row>
    <row r="34">
      <c r="A34" s="26" t="s">
        <v>167</v>
      </c>
      <c r="B34" s="27" t="s">
        <v>168</v>
      </c>
      <c r="C34" s="28" t="s">
        <v>282</v>
      </c>
    </row>
    <row r="35">
      <c r="A35" s="26" t="s">
        <v>118</v>
      </c>
      <c r="B35" s="27" t="s">
        <v>119</v>
      </c>
      <c r="C35" s="28" t="s">
        <v>282</v>
      </c>
    </row>
    <row r="36">
      <c r="A36" s="26" t="s">
        <v>163</v>
      </c>
      <c r="B36" s="27" t="s">
        <v>164</v>
      </c>
      <c r="C36" s="28" t="s">
        <v>282</v>
      </c>
    </row>
    <row r="37">
      <c r="A37" s="26" t="s">
        <v>280</v>
      </c>
      <c r="B37" s="27" t="s">
        <v>281</v>
      </c>
      <c r="C37" s="28" t="s">
        <v>282</v>
      </c>
    </row>
    <row r="38">
      <c r="A38" s="26" t="s">
        <v>89</v>
      </c>
      <c r="B38" s="27" t="s">
        <v>90</v>
      </c>
      <c r="C38" s="28" t="s">
        <v>282</v>
      </c>
    </row>
    <row r="39">
      <c r="A39" s="26" t="s">
        <v>191</v>
      </c>
      <c r="B39" s="27" t="s">
        <v>192</v>
      </c>
      <c r="C39" s="28" t="s">
        <v>282</v>
      </c>
    </row>
    <row r="40">
      <c r="A40" s="26" t="s">
        <v>209</v>
      </c>
      <c r="B40" s="27" t="s">
        <v>210</v>
      </c>
      <c r="C40" s="28" t="s">
        <v>282</v>
      </c>
    </row>
    <row r="41">
      <c r="A41" s="26" t="s">
        <v>116</v>
      </c>
      <c r="B41" s="27" t="s">
        <v>117</v>
      </c>
      <c r="C41" s="28" t="s">
        <v>282</v>
      </c>
    </row>
    <row r="42">
      <c r="A42" s="26" t="s">
        <v>239</v>
      </c>
      <c r="B42" s="27" t="s">
        <v>240</v>
      </c>
      <c r="C42" s="28" t="s">
        <v>282</v>
      </c>
    </row>
    <row r="43">
      <c r="A43" s="26" t="s">
        <v>153</v>
      </c>
      <c r="B43" s="27" t="s">
        <v>154</v>
      </c>
      <c r="C43" s="28" t="s">
        <v>282</v>
      </c>
    </row>
    <row r="44">
      <c r="A44" s="26" t="s">
        <v>193</v>
      </c>
      <c r="B44" s="27" t="s">
        <v>194</v>
      </c>
      <c r="C44" s="28" t="s">
        <v>282</v>
      </c>
    </row>
    <row r="45">
      <c r="A45" s="26" t="s">
        <v>87</v>
      </c>
      <c r="B45" s="27" t="s">
        <v>88</v>
      </c>
      <c r="C45" s="28" t="s">
        <v>282</v>
      </c>
    </row>
    <row r="46">
      <c r="A46" s="26" t="s">
        <v>121</v>
      </c>
      <c r="B46" s="27" t="s">
        <v>122</v>
      </c>
      <c r="C46" s="28" t="s">
        <v>282</v>
      </c>
    </row>
    <row r="47">
      <c r="A47" s="26" t="s">
        <v>73</v>
      </c>
      <c r="B47" s="27" t="s">
        <v>74</v>
      </c>
      <c r="C47" s="28" t="s">
        <v>282</v>
      </c>
    </row>
    <row r="48">
      <c r="A48" s="26" t="s">
        <v>187</v>
      </c>
      <c r="B48" s="27" t="s">
        <v>188</v>
      </c>
      <c r="C48" s="28" t="s">
        <v>282</v>
      </c>
    </row>
    <row r="49">
      <c r="A49" s="26" t="s">
        <v>195</v>
      </c>
      <c r="B49" s="27" t="s">
        <v>196</v>
      </c>
      <c r="C49" s="28" t="s">
        <v>282</v>
      </c>
    </row>
    <row r="50">
      <c r="A50" s="26" t="s">
        <v>135</v>
      </c>
      <c r="B50" s="27" t="s">
        <v>136</v>
      </c>
      <c r="C50" s="28" t="s">
        <v>282</v>
      </c>
    </row>
    <row r="51">
      <c r="A51" s="26" t="s">
        <v>143</v>
      </c>
      <c r="B51" s="27" t="s">
        <v>144</v>
      </c>
      <c r="C51" s="28" t="s">
        <v>282</v>
      </c>
    </row>
    <row r="52">
      <c r="A52" s="26" t="s">
        <v>123</v>
      </c>
      <c r="B52" s="27" t="s">
        <v>124</v>
      </c>
      <c r="C52" s="28" t="s">
        <v>282</v>
      </c>
    </row>
    <row r="53">
      <c r="A53" s="26" t="s">
        <v>173</v>
      </c>
      <c r="B53" s="27" t="s">
        <v>174</v>
      </c>
      <c r="C53" s="28" t="s">
        <v>282</v>
      </c>
    </row>
    <row r="54">
      <c r="A54" s="26" t="s">
        <v>253</v>
      </c>
      <c r="B54" s="27" t="s">
        <v>254</v>
      </c>
      <c r="C54" s="28" t="s">
        <v>282</v>
      </c>
    </row>
    <row r="55">
      <c r="A55" s="26" t="s">
        <v>171</v>
      </c>
      <c r="B55" s="27" t="s">
        <v>172</v>
      </c>
      <c r="C55" s="28" t="s">
        <v>282</v>
      </c>
    </row>
    <row r="56">
      <c r="A56" s="26" t="s">
        <v>231</v>
      </c>
      <c r="B56" s="27" t="s">
        <v>232</v>
      </c>
      <c r="C56" s="28" t="s">
        <v>282</v>
      </c>
    </row>
    <row r="57">
      <c r="A57" s="26" t="s">
        <v>76</v>
      </c>
      <c r="B57" s="27" t="s">
        <v>77</v>
      </c>
      <c r="C57" s="28" t="s">
        <v>282</v>
      </c>
    </row>
    <row r="58">
      <c r="A58" s="26" t="s">
        <v>71</v>
      </c>
      <c r="B58" s="27" t="s">
        <v>72</v>
      </c>
      <c r="C58" s="28" t="s">
        <v>282</v>
      </c>
    </row>
    <row r="59">
      <c r="A59" s="26" t="s">
        <v>260</v>
      </c>
      <c r="B59" s="27" t="s">
        <v>261</v>
      </c>
      <c r="C59" s="28" t="s">
        <v>282</v>
      </c>
    </row>
    <row r="60">
      <c r="A60" s="26" t="s">
        <v>251</v>
      </c>
      <c r="B60" s="27" t="s">
        <v>252</v>
      </c>
      <c r="C60" s="28" t="s">
        <v>282</v>
      </c>
    </row>
    <row r="61">
      <c r="A61" s="26" t="s">
        <v>104</v>
      </c>
      <c r="B61" s="27" t="s">
        <v>105</v>
      </c>
      <c r="C61" s="28" t="s">
        <v>282</v>
      </c>
    </row>
    <row r="62">
      <c r="A62" s="26" t="s">
        <v>128</v>
      </c>
      <c r="B62" s="27" t="s">
        <v>129</v>
      </c>
      <c r="C62" s="28" t="s">
        <v>282</v>
      </c>
    </row>
    <row r="63">
      <c r="A63" s="26" t="s">
        <v>155</v>
      </c>
      <c r="B63" s="27" t="s">
        <v>156</v>
      </c>
      <c r="C63" s="28" t="s">
        <v>282</v>
      </c>
    </row>
    <row r="64">
      <c r="A64" s="26" t="s">
        <v>147</v>
      </c>
      <c r="B64" s="27" t="s">
        <v>148</v>
      </c>
      <c r="C64" s="28" t="s">
        <v>282</v>
      </c>
    </row>
    <row r="65">
      <c r="A65" s="26" t="s">
        <v>217</v>
      </c>
      <c r="B65" s="27" t="s">
        <v>218</v>
      </c>
      <c r="C65" s="28" t="s">
        <v>282</v>
      </c>
    </row>
    <row r="66">
      <c r="A66" s="26" t="s">
        <v>177</v>
      </c>
      <c r="B66" s="27" t="s">
        <v>178</v>
      </c>
      <c r="C66" s="28" t="s">
        <v>282</v>
      </c>
    </row>
    <row r="67">
      <c r="A67" s="26" t="s">
        <v>165</v>
      </c>
      <c r="B67" s="27" t="s">
        <v>166</v>
      </c>
      <c r="C67" s="28" t="s">
        <v>282</v>
      </c>
    </row>
    <row r="68">
      <c r="A68" s="26" t="s">
        <v>241</v>
      </c>
      <c r="B68" s="27" t="s">
        <v>242</v>
      </c>
      <c r="C68" s="28" t="s">
        <v>282</v>
      </c>
    </row>
    <row r="69">
      <c r="A69" s="26" t="s">
        <v>247</v>
      </c>
      <c r="B69" s="27" t="s">
        <v>248</v>
      </c>
      <c r="C69" s="28" t="s">
        <v>282</v>
      </c>
    </row>
    <row r="70">
      <c r="A70" s="26" t="s">
        <v>101</v>
      </c>
      <c r="B70" s="27" t="s">
        <v>102</v>
      </c>
      <c r="C70" s="28" t="s">
        <v>282</v>
      </c>
    </row>
    <row r="71">
      <c r="A71" s="26" t="s">
        <v>276</v>
      </c>
      <c r="B71" s="27" t="s">
        <v>277</v>
      </c>
      <c r="C71" s="28" t="s">
        <v>282</v>
      </c>
    </row>
    <row r="72">
      <c r="A72" s="26" t="s">
        <v>229</v>
      </c>
      <c r="B72" s="27" t="s">
        <v>230</v>
      </c>
      <c r="C72" s="28" t="s">
        <v>282</v>
      </c>
    </row>
    <row r="73">
      <c r="A73" s="26" t="s">
        <v>237</v>
      </c>
      <c r="B73" s="27" t="s">
        <v>238</v>
      </c>
      <c r="C73" s="28" t="s">
        <v>282</v>
      </c>
    </row>
    <row r="74">
      <c r="A74" s="26" t="s">
        <v>157</v>
      </c>
      <c r="B74" s="27" t="s">
        <v>158</v>
      </c>
      <c r="C74" s="28" t="s">
        <v>282</v>
      </c>
    </row>
    <row r="75">
      <c r="A75" s="26" t="s">
        <v>278</v>
      </c>
      <c r="B75" s="27" t="s">
        <v>279</v>
      </c>
      <c r="C75" s="28" t="s">
        <v>282</v>
      </c>
    </row>
    <row r="76">
      <c r="A76" s="26" t="s">
        <v>245</v>
      </c>
      <c r="B76" s="27" t="s">
        <v>246</v>
      </c>
      <c r="C76" s="28" t="s">
        <v>282</v>
      </c>
    </row>
    <row r="77">
      <c r="A77" s="26" t="s">
        <v>111</v>
      </c>
      <c r="B77" s="27" t="s">
        <v>112</v>
      </c>
      <c r="C77" s="28" t="s">
        <v>282</v>
      </c>
    </row>
    <row r="78">
      <c r="A78" s="26" t="s">
        <v>139</v>
      </c>
      <c r="B78" s="27" t="s">
        <v>140</v>
      </c>
      <c r="C78" s="28" t="s">
        <v>282</v>
      </c>
    </row>
    <row r="79">
      <c r="A79" s="26" t="s">
        <v>189</v>
      </c>
      <c r="B79" s="27" t="s">
        <v>190</v>
      </c>
      <c r="C79" s="28" t="s">
        <v>282</v>
      </c>
    </row>
    <row r="80">
      <c r="A80" s="26" t="s">
        <v>274</v>
      </c>
      <c r="B80" s="27" t="s">
        <v>275</v>
      </c>
      <c r="C80" s="28" t="s">
        <v>282</v>
      </c>
    </row>
    <row r="81">
      <c r="A81" s="26" t="s">
        <v>93</v>
      </c>
      <c r="B81" s="27" t="s">
        <v>94</v>
      </c>
      <c r="C81" s="28" t="s">
        <v>282</v>
      </c>
    </row>
    <row r="82">
      <c r="A82" s="26" t="s">
        <v>159</v>
      </c>
      <c r="B82" s="27" t="s">
        <v>160</v>
      </c>
      <c r="C82" s="28" t="s">
        <v>282</v>
      </c>
    </row>
    <row r="83">
      <c r="A83" s="26" t="s">
        <v>81</v>
      </c>
      <c r="B83" s="27" t="s">
        <v>82</v>
      </c>
      <c r="C83" s="28" t="s">
        <v>282</v>
      </c>
    </row>
    <row r="84">
      <c r="A84" s="26" t="s">
        <v>91</v>
      </c>
      <c r="B84" s="27" t="s">
        <v>92</v>
      </c>
      <c r="C84" s="28" t="s">
        <v>282</v>
      </c>
    </row>
    <row r="85">
      <c r="A85" s="26" t="s">
        <v>197</v>
      </c>
      <c r="B85" s="27" t="s">
        <v>198</v>
      </c>
      <c r="C85" s="28" t="s">
        <v>282</v>
      </c>
    </row>
    <row r="86">
      <c r="A86" s="26" t="s">
        <v>137</v>
      </c>
      <c r="B86" s="27" t="s">
        <v>138</v>
      </c>
      <c r="C86" s="28" t="s">
        <v>282</v>
      </c>
    </row>
    <row r="87">
      <c r="A87" s="26" t="s">
        <v>223</v>
      </c>
      <c r="B87" s="27" t="s">
        <v>224</v>
      </c>
      <c r="C87" s="28" t="s">
        <v>282</v>
      </c>
    </row>
    <row r="88">
      <c r="A88" s="26" t="s">
        <v>97</v>
      </c>
      <c r="B88" s="27" t="s">
        <v>98</v>
      </c>
      <c r="C88" s="28" t="s">
        <v>282</v>
      </c>
    </row>
    <row r="89">
      <c r="A89" s="26" t="s">
        <v>175</v>
      </c>
      <c r="B89" s="27" t="s">
        <v>176</v>
      </c>
      <c r="C89" s="28" t="s">
        <v>282</v>
      </c>
    </row>
    <row r="90">
      <c r="A90" s="26" t="s">
        <v>215</v>
      </c>
      <c r="B90" s="27" t="s">
        <v>216</v>
      </c>
      <c r="C90" s="28" t="s">
        <v>282</v>
      </c>
    </row>
    <row r="91">
      <c r="A91" s="26" t="s">
        <v>151</v>
      </c>
      <c r="B91" s="27" t="s">
        <v>152</v>
      </c>
      <c r="C91" s="28" t="s">
        <v>282</v>
      </c>
    </row>
    <row r="92">
      <c r="A92" s="26" t="s">
        <v>219</v>
      </c>
      <c r="B92" s="27" t="s">
        <v>220</v>
      </c>
      <c r="C92" s="28" t="s">
        <v>282</v>
      </c>
    </row>
    <row r="93">
      <c r="A93" s="26" t="s">
        <v>264</v>
      </c>
      <c r="B93" s="27" t="s">
        <v>265</v>
      </c>
      <c r="C93" s="28" t="s">
        <v>282</v>
      </c>
    </row>
    <row r="94">
      <c r="A94" s="26" t="s">
        <v>225</v>
      </c>
      <c r="B94" s="27" t="s">
        <v>226</v>
      </c>
      <c r="C94" s="28" t="s">
        <v>282</v>
      </c>
    </row>
    <row r="95">
      <c r="A95" s="26" t="s">
        <v>243</v>
      </c>
      <c r="B95" s="27" t="s">
        <v>244</v>
      </c>
      <c r="C95" s="28" t="s">
        <v>282</v>
      </c>
    </row>
    <row r="96">
      <c r="A96" s="26" t="s">
        <v>126</v>
      </c>
      <c r="B96" s="27" t="s">
        <v>127</v>
      </c>
      <c r="C96" s="28" t="s">
        <v>282</v>
      </c>
    </row>
    <row r="97">
      <c r="A97" s="26" t="s">
        <v>169</v>
      </c>
      <c r="B97" s="27" t="s">
        <v>170</v>
      </c>
      <c r="C97" s="28" t="s">
        <v>282</v>
      </c>
    </row>
    <row r="98">
      <c r="A98" s="26" t="s">
        <v>200</v>
      </c>
      <c r="B98" s="27" t="s">
        <v>201</v>
      </c>
      <c r="C98" s="28" t="s">
        <v>282</v>
      </c>
    </row>
    <row r="99">
      <c r="A99" s="26" t="s">
        <v>109</v>
      </c>
      <c r="B99" s="27" t="s">
        <v>110</v>
      </c>
      <c r="C99" s="28" t="s">
        <v>282</v>
      </c>
    </row>
    <row r="100">
      <c r="A100" s="26" t="s">
        <v>262</v>
      </c>
      <c r="B100" s="27" t="s">
        <v>263</v>
      </c>
      <c r="C100" s="28" t="s">
        <v>282</v>
      </c>
    </row>
    <row r="101">
      <c r="A101" s="26" t="s">
        <v>85</v>
      </c>
      <c r="B101" s="27" t="s">
        <v>86</v>
      </c>
      <c r="C101" s="28" t="s">
        <v>282</v>
      </c>
    </row>
  </sheetData>
  <dataValidations>
    <dataValidation type="list" allowBlank="1" showErrorMessage="1" sqref="C2:C101">
      <formula1>"TO DO,TRUE,FALSE,SKIP"</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60.63"/>
  </cols>
  <sheetData>
    <row r="1">
      <c r="A1" s="23" t="s">
        <v>65</v>
      </c>
      <c r="B1" s="24" t="s">
        <v>66</v>
      </c>
      <c r="C1" s="25" t="s">
        <v>67</v>
      </c>
      <c r="D1" s="19" t="s">
        <v>68</v>
      </c>
    </row>
    <row r="2">
      <c r="A2" s="26" t="s">
        <v>247</v>
      </c>
      <c r="B2" s="27" t="s">
        <v>248</v>
      </c>
      <c r="C2" s="28" t="s">
        <v>282</v>
      </c>
    </row>
    <row r="3">
      <c r="A3" s="26" t="s">
        <v>89</v>
      </c>
      <c r="B3" s="27" t="s">
        <v>90</v>
      </c>
      <c r="C3" s="28" t="s">
        <v>282</v>
      </c>
    </row>
    <row r="4">
      <c r="A4" s="26" t="s">
        <v>221</v>
      </c>
      <c r="B4" s="27" t="s">
        <v>222</v>
      </c>
      <c r="C4" s="28" t="s">
        <v>282</v>
      </c>
    </row>
    <row r="5">
      <c r="A5" s="26" t="s">
        <v>111</v>
      </c>
      <c r="B5" s="27" t="s">
        <v>112</v>
      </c>
      <c r="C5" s="28" t="s">
        <v>282</v>
      </c>
    </row>
    <row r="6">
      <c r="A6" s="26" t="s">
        <v>268</v>
      </c>
      <c r="B6" s="27" t="s">
        <v>269</v>
      </c>
      <c r="C6" s="28" t="s">
        <v>282</v>
      </c>
    </row>
    <row r="7">
      <c r="A7" s="26" t="s">
        <v>209</v>
      </c>
      <c r="B7" s="27" t="s">
        <v>210</v>
      </c>
      <c r="C7" s="28" t="s">
        <v>282</v>
      </c>
    </row>
    <row r="8">
      <c r="A8" s="26" t="s">
        <v>85</v>
      </c>
      <c r="B8" s="27" t="s">
        <v>86</v>
      </c>
      <c r="C8" s="28" t="s">
        <v>282</v>
      </c>
    </row>
    <row r="9">
      <c r="A9" s="26" t="s">
        <v>91</v>
      </c>
      <c r="B9" s="27" t="s">
        <v>92</v>
      </c>
      <c r="C9" s="28" t="s">
        <v>282</v>
      </c>
    </row>
    <row r="10">
      <c r="A10" s="26" t="s">
        <v>81</v>
      </c>
      <c r="B10" s="27" t="s">
        <v>82</v>
      </c>
      <c r="C10" s="28" t="s">
        <v>282</v>
      </c>
    </row>
    <row r="11">
      <c r="A11" s="26" t="s">
        <v>135</v>
      </c>
      <c r="B11" s="27" t="s">
        <v>136</v>
      </c>
      <c r="C11" s="28" t="s">
        <v>282</v>
      </c>
    </row>
    <row r="12">
      <c r="A12" s="26" t="s">
        <v>137</v>
      </c>
      <c r="B12" s="27" t="s">
        <v>138</v>
      </c>
      <c r="C12" s="28" t="s">
        <v>282</v>
      </c>
    </row>
    <row r="13">
      <c r="A13" s="26" t="s">
        <v>243</v>
      </c>
      <c r="B13" s="27" t="s">
        <v>244</v>
      </c>
      <c r="C13" s="28" t="s">
        <v>282</v>
      </c>
    </row>
    <row r="14">
      <c r="A14" s="26" t="s">
        <v>280</v>
      </c>
      <c r="B14" s="27" t="s">
        <v>281</v>
      </c>
      <c r="C14" s="28" t="s">
        <v>282</v>
      </c>
    </row>
    <row r="15">
      <c r="A15" s="26" t="s">
        <v>69</v>
      </c>
      <c r="B15" s="27" t="s">
        <v>70</v>
      </c>
      <c r="C15" s="28" t="s">
        <v>282</v>
      </c>
    </row>
    <row r="16">
      <c r="A16" s="26" t="s">
        <v>266</v>
      </c>
      <c r="B16" s="27" t="s">
        <v>267</v>
      </c>
      <c r="C16" s="28" t="s">
        <v>282</v>
      </c>
    </row>
    <row r="17">
      <c r="A17" s="26" t="s">
        <v>173</v>
      </c>
      <c r="B17" s="27" t="s">
        <v>174</v>
      </c>
      <c r="C17" s="28" t="s">
        <v>282</v>
      </c>
    </row>
    <row r="18">
      <c r="A18" s="26" t="s">
        <v>202</v>
      </c>
      <c r="B18" s="27" t="s">
        <v>203</v>
      </c>
      <c r="C18" s="28" t="s">
        <v>282</v>
      </c>
    </row>
    <row r="19">
      <c r="A19" s="26" t="s">
        <v>272</v>
      </c>
      <c r="B19" s="27" t="s">
        <v>273</v>
      </c>
      <c r="C19" s="28" t="s">
        <v>282</v>
      </c>
    </row>
    <row r="20">
      <c r="A20" s="26" t="s">
        <v>99</v>
      </c>
      <c r="B20" s="27" t="s">
        <v>100</v>
      </c>
      <c r="C20" s="28" t="s">
        <v>282</v>
      </c>
    </row>
    <row r="21">
      <c r="A21" s="26" t="s">
        <v>147</v>
      </c>
      <c r="B21" s="27" t="s">
        <v>148</v>
      </c>
      <c r="C21" s="28" t="s">
        <v>282</v>
      </c>
    </row>
    <row r="22">
      <c r="A22" s="26" t="s">
        <v>71</v>
      </c>
      <c r="B22" s="27" t="s">
        <v>72</v>
      </c>
      <c r="C22" s="28" t="s">
        <v>282</v>
      </c>
    </row>
    <row r="23">
      <c r="A23" s="26" t="s">
        <v>225</v>
      </c>
      <c r="B23" s="27" t="s">
        <v>226</v>
      </c>
      <c r="C23" s="28" t="s">
        <v>282</v>
      </c>
    </row>
    <row r="24">
      <c r="A24" s="26" t="s">
        <v>213</v>
      </c>
      <c r="B24" s="27" t="s">
        <v>214</v>
      </c>
      <c r="C24" s="28" t="s">
        <v>282</v>
      </c>
    </row>
    <row r="25">
      <c r="A25" s="26" t="s">
        <v>235</v>
      </c>
      <c r="B25" s="27" t="s">
        <v>236</v>
      </c>
      <c r="C25" s="28" t="s">
        <v>282</v>
      </c>
    </row>
    <row r="26">
      <c r="A26" s="26" t="s">
        <v>151</v>
      </c>
      <c r="B26" s="27" t="s">
        <v>152</v>
      </c>
      <c r="C26" s="28" t="s">
        <v>282</v>
      </c>
    </row>
    <row r="27">
      <c r="A27" s="26" t="s">
        <v>233</v>
      </c>
      <c r="B27" s="27" t="s">
        <v>234</v>
      </c>
      <c r="C27" s="28" t="s">
        <v>282</v>
      </c>
    </row>
    <row r="28">
      <c r="A28" s="26" t="s">
        <v>177</v>
      </c>
      <c r="B28" s="27" t="s">
        <v>178</v>
      </c>
      <c r="C28" s="28" t="s">
        <v>282</v>
      </c>
    </row>
    <row r="29">
      <c r="A29" s="26" t="s">
        <v>78</v>
      </c>
      <c r="B29" s="27" t="s">
        <v>79</v>
      </c>
      <c r="C29" s="28" t="s">
        <v>282</v>
      </c>
    </row>
    <row r="30">
      <c r="A30" s="26" t="s">
        <v>149</v>
      </c>
      <c r="B30" s="27" t="s">
        <v>150</v>
      </c>
      <c r="C30" s="28" t="s">
        <v>282</v>
      </c>
    </row>
    <row r="31">
      <c r="A31" s="26" t="s">
        <v>278</v>
      </c>
      <c r="B31" s="27" t="s">
        <v>279</v>
      </c>
      <c r="C31" s="28" t="s">
        <v>282</v>
      </c>
    </row>
    <row r="32">
      <c r="A32" s="26" t="s">
        <v>251</v>
      </c>
      <c r="B32" s="27" t="s">
        <v>252</v>
      </c>
      <c r="C32" s="28" t="s">
        <v>282</v>
      </c>
    </row>
    <row r="33">
      <c r="A33" s="26" t="s">
        <v>139</v>
      </c>
      <c r="B33" s="27" t="s">
        <v>140</v>
      </c>
      <c r="C33" s="28" t="s">
        <v>282</v>
      </c>
    </row>
    <row r="34">
      <c r="A34" s="26" t="s">
        <v>95</v>
      </c>
      <c r="B34" s="27" t="s">
        <v>96</v>
      </c>
      <c r="C34" s="28" t="s">
        <v>282</v>
      </c>
    </row>
    <row r="35">
      <c r="A35" s="26" t="s">
        <v>182</v>
      </c>
      <c r="B35" s="27" t="s">
        <v>183</v>
      </c>
      <c r="C35" s="28" t="s">
        <v>282</v>
      </c>
    </row>
    <row r="36">
      <c r="A36" s="26" t="s">
        <v>204</v>
      </c>
      <c r="B36" s="27" t="s">
        <v>205</v>
      </c>
      <c r="C36" s="28" t="s">
        <v>282</v>
      </c>
    </row>
    <row r="37">
      <c r="A37" s="26" t="s">
        <v>187</v>
      </c>
      <c r="B37" s="27" t="s">
        <v>188</v>
      </c>
      <c r="C37" s="28" t="s">
        <v>282</v>
      </c>
    </row>
    <row r="38">
      <c r="A38" s="26" t="s">
        <v>264</v>
      </c>
      <c r="B38" s="27" t="s">
        <v>265</v>
      </c>
      <c r="C38" s="28" t="s">
        <v>282</v>
      </c>
    </row>
    <row r="39">
      <c r="A39" s="26" t="s">
        <v>241</v>
      </c>
      <c r="B39" s="27" t="s">
        <v>242</v>
      </c>
      <c r="C39" s="28" t="s">
        <v>282</v>
      </c>
    </row>
    <row r="40">
      <c r="A40" s="26" t="s">
        <v>239</v>
      </c>
      <c r="B40" s="27" t="s">
        <v>240</v>
      </c>
      <c r="C40" s="28" t="s">
        <v>282</v>
      </c>
    </row>
    <row r="41">
      <c r="A41" s="26" t="s">
        <v>211</v>
      </c>
      <c r="B41" s="27" t="s">
        <v>212</v>
      </c>
      <c r="C41" s="28" t="s">
        <v>282</v>
      </c>
    </row>
    <row r="42">
      <c r="A42" s="26" t="s">
        <v>200</v>
      </c>
      <c r="B42" s="27" t="s">
        <v>201</v>
      </c>
      <c r="C42" s="28" t="s">
        <v>282</v>
      </c>
    </row>
    <row r="43">
      <c r="A43" s="26" t="s">
        <v>217</v>
      </c>
      <c r="B43" s="27" t="s">
        <v>218</v>
      </c>
      <c r="C43" s="28" t="s">
        <v>282</v>
      </c>
    </row>
    <row r="44">
      <c r="A44" s="26" t="s">
        <v>237</v>
      </c>
      <c r="B44" s="27" t="s">
        <v>238</v>
      </c>
      <c r="C44" s="28" t="s">
        <v>282</v>
      </c>
    </row>
    <row r="45">
      <c r="A45" s="26" t="s">
        <v>143</v>
      </c>
      <c r="B45" s="27" t="s">
        <v>144</v>
      </c>
      <c r="C45" s="28" t="s">
        <v>282</v>
      </c>
    </row>
    <row r="46">
      <c r="A46" s="26" t="s">
        <v>276</v>
      </c>
      <c r="B46" s="27" t="s">
        <v>277</v>
      </c>
      <c r="C46" s="28" t="s">
        <v>282</v>
      </c>
    </row>
    <row r="47">
      <c r="A47" s="26" t="s">
        <v>191</v>
      </c>
      <c r="B47" s="27" t="s">
        <v>192</v>
      </c>
      <c r="C47" s="28" t="s">
        <v>282</v>
      </c>
    </row>
    <row r="48">
      <c r="A48" s="26" t="s">
        <v>171</v>
      </c>
      <c r="B48" s="27" t="s">
        <v>172</v>
      </c>
      <c r="C48" s="28" t="s">
        <v>282</v>
      </c>
    </row>
    <row r="49">
      <c r="A49" s="26" t="s">
        <v>121</v>
      </c>
      <c r="B49" s="27" t="s">
        <v>122</v>
      </c>
      <c r="C49" s="28" t="s">
        <v>282</v>
      </c>
    </row>
    <row r="50">
      <c r="A50" s="26" t="s">
        <v>101</v>
      </c>
      <c r="B50" s="27" t="s">
        <v>102</v>
      </c>
      <c r="C50" s="28" t="s">
        <v>282</v>
      </c>
    </row>
    <row r="51">
      <c r="A51" s="26" t="s">
        <v>274</v>
      </c>
      <c r="B51" s="27" t="s">
        <v>275</v>
      </c>
      <c r="C51" s="28" t="s">
        <v>282</v>
      </c>
    </row>
    <row r="52">
      <c r="A52" s="26" t="s">
        <v>189</v>
      </c>
      <c r="B52" s="27" t="s">
        <v>190</v>
      </c>
      <c r="C52" s="28" t="s">
        <v>282</v>
      </c>
    </row>
    <row r="53">
      <c r="A53" s="26" t="s">
        <v>163</v>
      </c>
      <c r="B53" s="27" t="s">
        <v>164</v>
      </c>
      <c r="C53" s="28" t="s">
        <v>282</v>
      </c>
    </row>
    <row r="54">
      <c r="A54" s="26" t="s">
        <v>253</v>
      </c>
      <c r="B54" s="27" t="s">
        <v>254</v>
      </c>
      <c r="C54" s="28" t="s">
        <v>282</v>
      </c>
    </row>
    <row r="55">
      <c r="A55" s="26" t="s">
        <v>155</v>
      </c>
      <c r="B55" s="27" t="s">
        <v>156</v>
      </c>
      <c r="C55" s="28" t="s">
        <v>282</v>
      </c>
    </row>
    <row r="56">
      <c r="A56" s="26" t="s">
        <v>145</v>
      </c>
      <c r="B56" s="27" t="s">
        <v>146</v>
      </c>
      <c r="C56" s="28" t="s">
        <v>282</v>
      </c>
    </row>
    <row r="57">
      <c r="A57" s="26" t="s">
        <v>195</v>
      </c>
      <c r="B57" s="27" t="s">
        <v>196</v>
      </c>
      <c r="C57" s="28" t="s">
        <v>282</v>
      </c>
    </row>
    <row r="58">
      <c r="A58" s="26" t="s">
        <v>109</v>
      </c>
      <c r="B58" s="27" t="s">
        <v>110</v>
      </c>
      <c r="C58" s="28" t="s">
        <v>282</v>
      </c>
    </row>
    <row r="59">
      <c r="A59" s="26" t="s">
        <v>157</v>
      </c>
      <c r="B59" s="27" t="s">
        <v>158</v>
      </c>
      <c r="C59" s="28" t="s">
        <v>282</v>
      </c>
    </row>
    <row r="60">
      <c r="A60" s="26" t="s">
        <v>260</v>
      </c>
      <c r="B60" s="27" t="s">
        <v>261</v>
      </c>
      <c r="C60" s="28" t="s">
        <v>282</v>
      </c>
    </row>
    <row r="61">
      <c r="A61" s="26" t="s">
        <v>249</v>
      </c>
      <c r="B61" s="27" t="s">
        <v>250</v>
      </c>
      <c r="C61" s="28" t="s">
        <v>282</v>
      </c>
    </row>
    <row r="62">
      <c r="A62" s="26" t="s">
        <v>126</v>
      </c>
      <c r="B62" s="27" t="s">
        <v>127</v>
      </c>
      <c r="C62" s="28" t="s">
        <v>282</v>
      </c>
    </row>
    <row r="63">
      <c r="A63" s="26" t="s">
        <v>223</v>
      </c>
      <c r="B63" s="27" t="s">
        <v>224</v>
      </c>
      <c r="C63" s="28" t="s">
        <v>282</v>
      </c>
    </row>
    <row r="64">
      <c r="A64" s="26" t="s">
        <v>165</v>
      </c>
      <c r="B64" s="27" t="s">
        <v>166</v>
      </c>
      <c r="C64" s="28" t="s">
        <v>282</v>
      </c>
    </row>
    <row r="65">
      <c r="A65" s="26" t="s">
        <v>185</v>
      </c>
      <c r="B65" s="27" t="s">
        <v>186</v>
      </c>
      <c r="C65" s="28" t="s">
        <v>282</v>
      </c>
    </row>
    <row r="66">
      <c r="A66" s="26" t="s">
        <v>215</v>
      </c>
      <c r="B66" s="27" t="s">
        <v>216</v>
      </c>
      <c r="C66" s="28" t="s">
        <v>282</v>
      </c>
    </row>
    <row r="67">
      <c r="A67" s="26" t="s">
        <v>231</v>
      </c>
      <c r="B67" s="27" t="s">
        <v>232</v>
      </c>
      <c r="C67" s="28" t="s">
        <v>282</v>
      </c>
    </row>
    <row r="68">
      <c r="A68" s="26" t="s">
        <v>123</v>
      </c>
      <c r="B68" s="27" t="s">
        <v>124</v>
      </c>
      <c r="C68" s="28" t="s">
        <v>282</v>
      </c>
    </row>
    <row r="69">
      <c r="A69" s="26" t="s">
        <v>270</v>
      </c>
      <c r="B69" s="27" t="s">
        <v>271</v>
      </c>
      <c r="C69" s="28" t="s">
        <v>282</v>
      </c>
    </row>
    <row r="70">
      <c r="A70" s="26" t="s">
        <v>130</v>
      </c>
      <c r="B70" s="27" t="s">
        <v>131</v>
      </c>
      <c r="C70" s="28" t="s">
        <v>282</v>
      </c>
    </row>
    <row r="71">
      <c r="A71" s="26" t="s">
        <v>175</v>
      </c>
      <c r="B71" s="27" t="s">
        <v>176</v>
      </c>
      <c r="C71" s="28" t="s">
        <v>282</v>
      </c>
    </row>
    <row r="72">
      <c r="A72" s="26" t="s">
        <v>161</v>
      </c>
      <c r="B72" s="27" t="s">
        <v>162</v>
      </c>
      <c r="C72" s="28" t="s">
        <v>282</v>
      </c>
    </row>
    <row r="73">
      <c r="A73" s="26" t="s">
        <v>153</v>
      </c>
      <c r="B73" s="27" t="s">
        <v>154</v>
      </c>
      <c r="C73" s="28" t="s">
        <v>282</v>
      </c>
    </row>
    <row r="74">
      <c r="A74" s="26" t="s">
        <v>258</v>
      </c>
      <c r="B74" s="27" t="s">
        <v>259</v>
      </c>
      <c r="C74" s="28" t="s">
        <v>282</v>
      </c>
    </row>
    <row r="75">
      <c r="A75" s="26" t="s">
        <v>128</v>
      </c>
      <c r="B75" s="27" t="s">
        <v>129</v>
      </c>
      <c r="C75" s="28" t="s">
        <v>282</v>
      </c>
    </row>
    <row r="76">
      <c r="A76" s="26" t="s">
        <v>132</v>
      </c>
      <c r="B76" s="27" t="s">
        <v>133</v>
      </c>
      <c r="C76" s="28" t="s">
        <v>282</v>
      </c>
    </row>
    <row r="77">
      <c r="A77" s="26" t="s">
        <v>116</v>
      </c>
      <c r="B77" s="27" t="s">
        <v>117</v>
      </c>
      <c r="C77" s="28" t="s">
        <v>282</v>
      </c>
    </row>
    <row r="78">
      <c r="A78" s="26" t="s">
        <v>193</v>
      </c>
      <c r="B78" s="27" t="s">
        <v>194</v>
      </c>
      <c r="C78" s="28" t="s">
        <v>282</v>
      </c>
    </row>
    <row r="79">
      <c r="A79" s="26" t="s">
        <v>107</v>
      </c>
      <c r="B79" s="27" t="s">
        <v>108</v>
      </c>
      <c r="C79" s="28" t="s">
        <v>282</v>
      </c>
    </row>
    <row r="80">
      <c r="A80" s="26" t="s">
        <v>141</v>
      </c>
      <c r="B80" s="27" t="s">
        <v>142</v>
      </c>
      <c r="C80" s="28" t="s">
        <v>282</v>
      </c>
    </row>
    <row r="81">
      <c r="A81" s="26" t="s">
        <v>87</v>
      </c>
      <c r="B81" s="27" t="s">
        <v>88</v>
      </c>
      <c r="C81" s="28" t="s">
        <v>282</v>
      </c>
    </row>
    <row r="82">
      <c r="A82" s="26" t="s">
        <v>167</v>
      </c>
      <c r="B82" s="27" t="s">
        <v>168</v>
      </c>
      <c r="C82" s="28" t="s">
        <v>282</v>
      </c>
    </row>
    <row r="83">
      <c r="A83" s="26" t="s">
        <v>169</v>
      </c>
      <c r="B83" s="27" t="s">
        <v>170</v>
      </c>
      <c r="C83" s="28" t="s">
        <v>282</v>
      </c>
    </row>
    <row r="84">
      <c r="A84" s="26" t="s">
        <v>262</v>
      </c>
      <c r="B84" s="27" t="s">
        <v>263</v>
      </c>
      <c r="C84" s="28" t="s">
        <v>282</v>
      </c>
    </row>
    <row r="85">
      <c r="A85" s="26" t="s">
        <v>76</v>
      </c>
      <c r="B85" s="27" t="s">
        <v>77</v>
      </c>
      <c r="C85" s="28" t="s">
        <v>282</v>
      </c>
    </row>
    <row r="86">
      <c r="A86" s="26" t="s">
        <v>83</v>
      </c>
      <c r="B86" s="27" t="s">
        <v>84</v>
      </c>
      <c r="C86" s="28" t="s">
        <v>282</v>
      </c>
    </row>
    <row r="87">
      <c r="A87" s="26" t="s">
        <v>229</v>
      </c>
      <c r="B87" s="27" t="s">
        <v>230</v>
      </c>
      <c r="C87" s="28" t="s">
        <v>282</v>
      </c>
    </row>
    <row r="88">
      <c r="A88" s="26" t="s">
        <v>180</v>
      </c>
      <c r="B88" s="27" t="s">
        <v>181</v>
      </c>
      <c r="C88" s="28" t="s">
        <v>282</v>
      </c>
    </row>
    <row r="89">
      <c r="A89" s="26" t="s">
        <v>159</v>
      </c>
      <c r="B89" s="27" t="s">
        <v>160</v>
      </c>
      <c r="C89" s="28" t="s">
        <v>282</v>
      </c>
    </row>
    <row r="90">
      <c r="A90" s="26" t="s">
        <v>256</v>
      </c>
      <c r="B90" s="27" t="s">
        <v>257</v>
      </c>
      <c r="C90" s="28" t="s">
        <v>282</v>
      </c>
    </row>
    <row r="91">
      <c r="A91" s="26" t="s">
        <v>227</v>
      </c>
      <c r="B91" s="27" t="s">
        <v>228</v>
      </c>
      <c r="C91" s="28" t="s">
        <v>282</v>
      </c>
    </row>
    <row r="92">
      <c r="A92" s="26" t="s">
        <v>93</v>
      </c>
      <c r="B92" s="27" t="s">
        <v>94</v>
      </c>
      <c r="C92" s="28" t="s">
        <v>282</v>
      </c>
    </row>
    <row r="93">
      <c r="A93" s="26" t="s">
        <v>245</v>
      </c>
      <c r="B93" s="27" t="s">
        <v>246</v>
      </c>
      <c r="C93" s="28" t="s">
        <v>282</v>
      </c>
    </row>
    <row r="94">
      <c r="A94" s="26" t="s">
        <v>118</v>
      </c>
      <c r="B94" s="27" t="s">
        <v>119</v>
      </c>
      <c r="C94" s="28" t="s">
        <v>282</v>
      </c>
    </row>
    <row r="95">
      <c r="A95" s="26" t="s">
        <v>97</v>
      </c>
      <c r="B95" s="27" t="s">
        <v>98</v>
      </c>
      <c r="C95" s="28" t="s">
        <v>282</v>
      </c>
    </row>
    <row r="96">
      <c r="A96" s="26" t="s">
        <v>197</v>
      </c>
      <c r="B96" s="27" t="s">
        <v>198</v>
      </c>
      <c r="C96" s="28" t="s">
        <v>282</v>
      </c>
    </row>
    <row r="97">
      <c r="A97" s="26" t="s">
        <v>114</v>
      </c>
      <c r="B97" s="27" t="s">
        <v>115</v>
      </c>
      <c r="C97" s="28" t="s">
        <v>282</v>
      </c>
    </row>
    <row r="98">
      <c r="A98" s="26" t="s">
        <v>219</v>
      </c>
      <c r="B98" s="27" t="s">
        <v>220</v>
      </c>
      <c r="C98" s="28" t="s">
        <v>282</v>
      </c>
    </row>
    <row r="99">
      <c r="A99" s="26" t="s">
        <v>73</v>
      </c>
      <c r="B99" s="27" t="s">
        <v>74</v>
      </c>
      <c r="C99" s="28" t="s">
        <v>282</v>
      </c>
    </row>
    <row r="100">
      <c r="A100" s="26" t="s">
        <v>104</v>
      </c>
      <c r="B100" s="27" t="s">
        <v>105</v>
      </c>
      <c r="C100" s="28" t="s">
        <v>282</v>
      </c>
    </row>
    <row r="101">
      <c r="A101" s="26" t="s">
        <v>206</v>
      </c>
      <c r="B101" s="27" t="s">
        <v>207</v>
      </c>
      <c r="C101" s="28" t="s">
        <v>282</v>
      </c>
    </row>
  </sheetData>
  <dataValidations>
    <dataValidation type="list" allowBlank="1" showErrorMessage="1" sqref="C2:C101">
      <formula1>"TO DO,TRUE,FALSE,SKIP"</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0.75"/>
    <col customWidth="1" min="2" max="2" width="89.38"/>
    <col customWidth="1" min="3" max="3" width="14.38"/>
    <col customWidth="1" min="4" max="4" width="19.75"/>
  </cols>
  <sheetData>
    <row r="1">
      <c r="A1" s="23" t="s">
        <v>65</v>
      </c>
      <c r="B1" s="24" t="s">
        <v>66</v>
      </c>
      <c r="C1" s="25" t="s">
        <v>67</v>
      </c>
      <c r="D1" s="19" t="s">
        <v>68</v>
      </c>
    </row>
    <row r="2">
      <c r="A2" s="26" t="s">
        <v>145</v>
      </c>
      <c r="B2" s="27" t="s">
        <v>146</v>
      </c>
      <c r="C2" s="28" t="b">
        <v>1</v>
      </c>
    </row>
    <row r="3">
      <c r="A3" s="26" t="s">
        <v>223</v>
      </c>
      <c r="B3" s="27" t="s">
        <v>224</v>
      </c>
      <c r="C3" s="28" t="b">
        <v>0</v>
      </c>
    </row>
    <row r="4">
      <c r="A4" s="26" t="s">
        <v>171</v>
      </c>
      <c r="B4" s="27" t="s">
        <v>172</v>
      </c>
      <c r="C4" s="28" t="b">
        <v>0</v>
      </c>
    </row>
    <row r="5">
      <c r="A5" s="26" t="s">
        <v>189</v>
      </c>
      <c r="B5" s="27" t="s">
        <v>190</v>
      </c>
      <c r="C5" s="28" t="b">
        <v>1</v>
      </c>
      <c r="D5" s="5" t="s">
        <v>283</v>
      </c>
    </row>
    <row r="6">
      <c r="A6" s="26" t="s">
        <v>167</v>
      </c>
      <c r="B6" s="27" t="s">
        <v>168</v>
      </c>
      <c r="C6" s="28" t="b">
        <v>1</v>
      </c>
      <c r="D6" s="5" t="s">
        <v>284</v>
      </c>
    </row>
    <row r="7">
      <c r="A7" s="26" t="s">
        <v>87</v>
      </c>
      <c r="B7" s="27" t="s">
        <v>88</v>
      </c>
      <c r="C7" s="28" t="b">
        <v>1</v>
      </c>
    </row>
    <row r="8">
      <c r="A8" s="26" t="s">
        <v>155</v>
      </c>
      <c r="B8" s="27" t="s">
        <v>156</v>
      </c>
      <c r="C8" s="28" t="b">
        <v>0</v>
      </c>
      <c r="D8" s="5" t="s">
        <v>285</v>
      </c>
    </row>
    <row r="9">
      <c r="A9" s="26" t="s">
        <v>243</v>
      </c>
      <c r="B9" s="27" t="s">
        <v>244</v>
      </c>
      <c r="C9" s="28" t="b">
        <v>0</v>
      </c>
    </row>
    <row r="10">
      <c r="A10" s="26" t="s">
        <v>195</v>
      </c>
      <c r="B10" s="27" t="s">
        <v>196</v>
      </c>
      <c r="C10" s="28" t="b">
        <v>0</v>
      </c>
    </row>
    <row r="11">
      <c r="A11" s="26" t="s">
        <v>97</v>
      </c>
      <c r="B11" s="27" t="s">
        <v>98</v>
      </c>
      <c r="C11" s="28" t="b">
        <v>0</v>
      </c>
    </row>
    <row r="12">
      <c r="A12" s="26" t="s">
        <v>175</v>
      </c>
      <c r="B12" s="27" t="s">
        <v>176</v>
      </c>
      <c r="C12" s="28" t="b">
        <v>1</v>
      </c>
    </row>
    <row r="13">
      <c r="A13" s="26" t="s">
        <v>264</v>
      </c>
      <c r="B13" s="27" t="s">
        <v>265</v>
      </c>
      <c r="C13" s="28" t="b">
        <v>1</v>
      </c>
    </row>
    <row r="14">
      <c r="A14" s="26" t="s">
        <v>262</v>
      </c>
      <c r="B14" s="27" t="s">
        <v>263</v>
      </c>
      <c r="C14" s="28" t="b">
        <v>1</v>
      </c>
    </row>
    <row r="15">
      <c r="A15" s="26" t="s">
        <v>169</v>
      </c>
      <c r="B15" s="27" t="s">
        <v>170</v>
      </c>
      <c r="C15" s="28" t="b">
        <v>0</v>
      </c>
    </row>
    <row r="16">
      <c r="A16" s="26" t="s">
        <v>219</v>
      </c>
      <c r="B16" s="27" t="s">
        <v>220</v>
      </c>
      <c r="C16" s="28" t="b">
        <v>1</v>
      </c>
    </row>
    <row r="17">
      <c r="A17" s="26" t="s">
        <v>266</v>
      </c>
      <c r="B17" s="27" t="s">
        <v>267</v>
      </c>
      <c r="C17" s="28" t="b">
        <v>0</v>
      </c>
    </row>
    <row r="18">
      <c r="A18" s="26" t="s">
        <v>229</v>
      </c>
      <c r="B18" s="27" t="s">
        <v>230</v>
      </c>
      <c r="C18" s="28" t="b">
        <v>1</v>
      </c>
    </row>
    <row r="19">
      <c r="A19" s="26" t="s">
        <v>83</v>
      </c>
      <c r="B19" s="29" t="s">
        <v>84</v>
      </c>
      <c r="C19" s="28" t="b">
        <v>1</v>
      </c>
      <c r="D19" s="5" t="s">
        <v>286</v>
      </c>
    </row>
    <row r="20">
      <c r="A20" s="26" t="s">
        <v>89</v>
      </c>
      <c r="B20" s="27" t="s">
        <v>90</v>
      </c>
      <c r="C20" s="28" t="b">
        <v>1</v>
      </c>
    </row>
    <row r="21">
      <c r="A21" s="26" t="s">
        <v>249</v>
      </c>
      <c r="B21" s="27" t="s">
        <v>250</v>
      </c>
      <c r="C21" s="28" t="b">
        <v>0</v>
      </c>
    </row>
    <row r="22">
      <c r="A22" s="26" t="s">
        <v>247</v>
      </c>
      <c r="B22" s="27" t="s">
        <v>248</v>
      </c>
      <c r="C22" s="28" t="b">
        <v>0</v>
      </c>
    </row>
    <row r="23">
      <c r="A23" s="26" t="s">
        <v>193</v>
      </c>
      <c r="B23" s="27" t="s">
        <v>194</v>
      </c>
      <c r="C23" s="28" t="b">
        <v>1</v>
      </c>
    </row>
    <row r="24">
      <c r="A24" s="26" t="s">
        <v>173</v>
      </c>
      <c r="B24" s="27" t="s">
        <v>174</v>
      </c>
      <c r="C24" s="28" t="b">
        <v>1</v>
      </c>
    </row>
    <row r="25">
      <c r="A25" s="26" t="s">
        <v>69</v>
      </c>
      <c r="B25" s="27" t="s">
        <v>70</v>
      </c>
      <c r="C25" s="28" t="b">
        <v>1</v>
      </c>
      <c r="D25" s="5">
        <v>4.2</v>
      </c>
    </row>
    <row r="26">
      <c r="A26" s="26" t="s">
        <v>276</v>
      </c>
      <c r="B26" s="27" t="s">
        <v>277</v>
      </c>
      <c r="C26" s="28" t="b">
        <v>0</v>
      </c>
    </row>
    <row r="27">
      <c r="A27" s="26" t="s">
        <v>153</v>
      </c>
      <c r="B27" s="27" t="s">
        <v>154</v>
      </c>
      <c r="C27" s="28" t="b">
        <v>0</v>
      </c>
    </row>
    <row r="28">
      <c r="A28" s="26" t="s">
        <v>159</v>
      </c>
      <c r="B28" s="27" t="s">
        <v>160</v>
      </c>
      <c r="C28" s="28" t="b">
        <v>1</v>
      </c>
    </row>
    <row r="29">
      <c r="A29" s="26" t="s">
        <v>114</v>
      </c>
      <c r="B29" s="27" t="s">
        <v>115</v>
      </c>
      <c r="C29" s="28" t="b">
        <v>0</v>
      </c>
    </row>
    <row r="30">
      <c r="A30" s="26" t="s">
        <v>241</v>
      </c>
      <c r="B30" s="27" t="s">
        <v>242</v>
      </c>
      <c r="C30" s="28" t="b">
        <v>0</v>
      </c>
    </row>
    <row r="31">
      <c r="A31" s="26" t="s">
        <v>191</v>
      </c>
      <c r="B31" s="27" t="s">
        <v>192</v>
      </c>
      <c r="C31" s="28" t="b">
        <v>0</v>
      </c>
    </row>
    <row r="32">
      <c r="A32" s="26" t="s">
        <v>215</v>
      </c>
      <c r="B32" s="27" t="s">
        <v>216</v>
      </c>
      <c r="C32" s="28" t="b">
        <v>0</v>
      </c>
    </row>
    <row r="33">
      <c r="A33" s="26" t="s">
        <v>202</v>
      </c>
      <c r="B33" s="27" t="s">
        <v>203</v>
      </c>
      <c r="C33" s="28" t="b">
        <v>0</v>
      </c>
    </row>
    <row r="34">
      <c r="A34" s="26" t="s">
        <v>139</v>
      </c>
      <c r="B34" s="27" t="s">
        <v>140</v>
      </c>
      <c r="C34" s="28" t="b">
        <v>0</v>
      </c>
    </row>
    <row r="35">
      <c r="A35" s="26" t="s">
        <v>239</v>
      </c>
      <c r="B35" s="27" t="s">
        <v>240</v>
      </c>
      <c r="C35" s="28" t="b">
        <v>1</v>
      </c>
    </row>
    <row r="36">
      <c r="A36" s="26" t="s">
        <v>116</v>
      </c>
      <c r="B36" s="27" t="s">
        <v>117</v>
      </c>
      <c r="C36" s="28" t="b">
        <v>0</v>
      </c>
    </row>
    <row r="37">
      <c r="A37" s="26" t="s">
        <v>256</v>
      </c>
      <c r="B37" s="27" t="s">
        <v>257</v>
      </c>
      <c r="C37" s="28" t="b">
        <v>1</v>
      </c>
    </row>
    <row r="38">
      <c r="A38" s="26" t="s">
        <v>93</v>
      </c>
      <c r="B38" s="27" t="s">
        <v>94</v>
      </c>
      <c r="C38" s="28" t="b">
        <v>1</v>
      </c>
    </row>
    <row r="39">
      <c r="A39" s="26" t="s">
        <v>211</v>
      </c>
      <c r="B39" s="27" t="s">
        <v>212</v>
      </c>
      <c r="C39" s="28" t="b">
        <v>1</v>
      </c>
    </row>
    <row r="40">
      <c r="A40" s="26" t="s">
        <v>104</v>
      </c>
      <c r="B40" s="27" t="s">
        <v>105</v>
      </c>
      <c r="C40" s="28" t="b">
        <v>1</v>
      </c>
    </row>
    <row r="41">
      <c r="A41" s="26" t="s">
        <v>272</v>
      </c>
      <c r="B41" s="27" t="s">
        <v>273</v>
      </c>
      <c r="C41" s="28" t="b">
        <v>0</v>
      </c>
    </row>
    <row r="42">
      <c r="A42" s="26" t="s">
        <v>157</v>
      </c>
      <c r="B42" s="27" t="s">
        <v>158</v>
      </c>
      <c r="C42" s="28" t="b">
        <v>1</v>
      </c>
    </row>
    <row r="43">
      <c r="A43" s="26" t="s">
        <v>197</v>
      </c>
      <c r="B43" s="27" t="s">
        <v>198</v>
      </c>
      <c r="C43" s="28" t="b">
        <v>1</v>
      </c>
    </row>
    <row r="44">
      <c r="A44" s="26" t="s">
        <v>111</v>
      </c>
      <c r="B44" s="27" t="s">
        <v>112</v>
      </c>
      <c r="C44" s="28" t="b">
        <v>1</v>
      </c>
    </row>
    <row r="45">
      <c r="A45" s="26" t="s">
        <v>121</v>
      </c>
      <c r="B45" s="27" t="s">
        <v>122</v>
      </c>
      <c r="C45" s="28" t="b">
        <v>1</v>
      </c>
    </row>
    <row r="46">
      <c r="A46" s="26" t="s">
        <v>76</v>
      </c>
      <c r="B46" s="27" t="s">
        <v>77</v>
      </c>
      <c r="C46" s="28" t="b">
        <v>1</v>
      </c>
    </row>
    <row r="47">
      <c r="A47" s="26" t="s">
        <v>268</v>
      </c>
      <c r="B47" s="27" t="s">
        <v>269</v>
      </c>
      <c r="C47" s="28" t="b">
        <v>0</v>
      </c>
    </row>
    <row r="48">
      <c r="A48" s="26" t="s">
        <v>118</v>
      </c>
      <c r="B48" s="27" t="s">
        <v>119</v>
      </c>
      <c r="C48" s="28" t="b">
        <v>1</v>
      </c>
    </row>
    <row r="49">
      <c r="A49" s="26" t="s">
        <v>101</v>
      </c>
      <c r="B49" s="27" t="s">
        <v>102</v>
      </c>
      <c r="C49" s="28" t="b">
        <v>1</v>
      </c>
    </row>
    <row r="50">
      <c r="A50" s="26" t="s">
        <v>163</v>
      </c>
      <c r="B50" s="27" t="s">
        <v>164</v>
      </c>
      <c r="C50" s="28" t="b">
        <v>1</v>
      </c>
    </row>
    <row r="51">
      <c r="A51" s="26" t="s">
        <v>91</v>
      </c>
      <c r="B51" s="27" t="s">
        <v>92</v>
      </c>
      <c r="C51" s="28" t="b">
        <v>1</v>
      </c>
    </row>
    <row r="52">
      <c r="A52" s="26" t="s">
        <v>128</v>
      </c>
      <c r="B52" s="30" t="s">
        <v>129</v>
      </c>
      <c r="C52" s="28" t="b">
        <v>0</v>
      </c>
      <c r="D52" s="5" t="s">
        <v>287</v>
      </c>
    </row>
    <row r="53">
      <c r="A53" s="26" t="s">
        <v>217</v>
      </c>
      <c r="B53" s="27" t="s">
        <v>218</v>
      </c>
      <c r="C53" s="28" t="b">
        <v>0</v>
      </c>
    </row>
    <row r="54">
      <c r="A54" s="26" t="s">
        <v>260</v>
      </c>
      <c r="B54" s="27" t="s">
        <v>261</v>
      </c>
      <c r="C54" s="28" t="b">
        <v>0</v>
      </c>
    </row>
    <row r="55">
      <c r="A55" s="26" t="s">
        <v>149</v>
      </c>
      <c r="B55" s="27" t="s">
        <v>150</v>
      </c>
      <c r="C55" s="28" t="b">
        <v>0</v>
      </c>
    </row>
    <row r="56">
      <c r="A56" s="26" t="s">
        <v>280</v>
      </c>
      <c r="B56" s="27" t="s">
        <v>281</v>
      </c>
      <c r="C56" s="28" t="b">
        <v>0</v>
      </c>
    </row>
    <row r="57">
      <c r="A57" s="26" t="s">
        <v>270</v>
      </c>
      <c r="B57" s="27" t="s">
        <v>271</v>
      </c>
      <c r="C57" s="28" t="b">
        <v>0</v>
      </c>
    </row>
    <row r="58">
      <c r="A58" s="26" t="s">
        <v>71</v>
      </c>
      <c r="B58" s="27" t="s">
        <v>72</v>
      </c>
      <c r="C58" s="28" t="b">
        <v>1</v>
      </c>
    </row>
    <row r="59">
      <c r="A59" s="26" t="s">
        <v>137</v>
      </c>
      <c r="B59" s="27" t="s">
        <v>138</v>
      </c>
      <c r="C59" s="28" t="b">
        <v>1</v>
      </c>
    </row>
    <row r="60">
      <c r="A60" s="26" t="s">
        <v>73</v>
      </c>
      <c r="B60" s="27" t="s">
        <v>74</v>
      </c>
      <c r="C60" s="28" t="b">
        <v>0</v>
      </c>
    </row>
    <row r="61">
      <c r="A61" s="26" t="s">
        <v>81</v>
      </c>
      <c r="B61" s="27" t="s">
        <v>82</v>
      </c>
      <c r="C61" s="28" t="b">
        <v>0</v>
      </c>
    </row>
    <row r="62">
      <c r="A62" s="26" t="s">
        <v>231</v>
      </c>
      <c r="B62" s="27" t="s">
        <v>232</v>
      </c>
      <c r="C62" s="28" t="b">
        <v>1</v>
      </c>
    </row>
    <row r="63">
      <c r="A63" s="26" t="s">
        <v>141</v>
      </c>
      <c r="B63" s="27" t="s">
        <v>142</v>
      </c>
      <c r="C63" s="28" t="b">
        <v>0</v>
      </c>
    </row>
    <row r="64">
      <c r="A64" s="26" t="s">
        <v>213</v>
      </c>
      <c r="B64" s="27" t="s">
        <v>214</v>
      </c>
      <c r="C64" s="28" t="b">
        <v>0</v>
      </c>
    </row>
    <row r="65">
      <c r="A65" s="26" t="s">
        <v>204</v>
      </c>
      <c r="B65" s="27" t="s">
        <v>205</v>
      </c>
      <c r="C65" s="28" t="b">
        <v>0</v>
      </c>
    </row>
    <row r="66">
      <c r="A66" s="26" t="s">
        <v>258</v>
      </c>
      <c r="B66" s="27" t="s">
        <v>259</v>
      </c>
      <c r="C66" s="28" t="b">
        <v>1</v>
      </c>
    </row>
    <row r="67">
      <c r="A67" s="26" t="s">
        <v>123</v>
      </c>
      <c r="B67" s="27" t="s">
        <v>124</v>
      </c>
      <c r="C67" s="28" t="b">
        <v>1</v>
      </c>
    </row>
    <row r="68">
      <c r="A68" s="26" t="s">
        <v>95</v>
      </c>
      <c r="B68" s="27" t="s">
        <v>96</v>
      </c>
      <c r="C68" s="28" t="b">
        <v>0</v>
      </c>
    </row>
    <row r="69">
      <c r="A69" s="26" t="s">
        <v>253</v>
      </c>
      <c r="B69" s="27" t="s">
        <v>254</v>
      </c>
      <c r="C69" s="28" t="b">
        <v>0</v>
      </c>
      <c r="D69" s="5" t="s">
        <v>288</v>
      </c>
    </row>
    <row r="70">
      <c r="A70" s="26" t="s">
        <v>143</v>
      </c>
      <c r="B70" s="27" t="s">
        <v>144</v>
      </c>
      <c r="C70" s="28" t="b">
        <v>0</v>
      </c>
    </row>
    <row r="71">
      <c r="A71" s="26" t="s">
        <v>177</v>
      </c>
      <c r="B71" s="27" t="s">
        <v>178</v>
      </c>
      <c r="C71" s="28" t="b">
        <v>1</v>
      </c>
    </row>
    <row r="72">
      <c r="A72" s="26" t="s">
        <v>165</v>
      </c>
      <c r="B72" s="27" t="s">
        <v>166</v>
      </c>
      <c r="C72" s="28" t="b">
        <v>1</v>
      </c>
    </row>
    <row r="73">
      <c r="A73" s="26" t="s">
        <v>130</v>
      </c>
      <c r="B73" s="27" t="s">
        <v>131</v>
      </c>
      <c r="C73" s="28" t="b">
        <v>0</v>
      </c>
    </row>
    <row r="74">
      <c r="A74" s="26" t="s">
        <v>235</v>
      </c>
      <c r="B74" s="27" t="s">
        <v>236</v>
      </c>
      <c r="C74" s="28" t="b">
        <v>0</v>
      </c>
    </row>
    <row r="75">
      <c r="A75" s="26" t="s">
        <v>151</v>
      </c>
      <c r="B75" s="27" t="s">
        <v>152</v>
      </c>
      <c r="C75" s="28" t="b">
        <v>1</v>
      </c>
    </row>
    <row r="76">
      <c r="A76" s="26" t="s">
        <v>161</v>
      </c>
      <c r="B76" s="27" t="s">
        <v>162</v>
      </c>
      <c r="C76" s="28" t="b">
        <v>1</v>
      </c>
    </row>
    <row r="77">
      <c r="A77" s="26" t="s">
        <v>206</v>
      </c>
      <c r="B77" s="27" t="s">
        <v>207</v>
      </c>
      <c r="C77" s="28" t="b">
        <v>1</v>
      </c>
    </row>
    <row r="78">
      <c r="A78" s="26" t="s">
        <v>132</v>
      </c>
      <c r="B78" s="27" t="s">
        <v>133</v>
      </c>
      <c r="C78" s="28" t="b">
        <v>1</v>
      </c>
    </row>
    <row r="79">
      <c r="A79" s="26" t="s">
        <v>107</v>
      </c>
      <c r="B79" s="27" t="s">
        <v>108</v>
      </c>
      <c r="C79" s="28" t="b">
        <v>0</v>
      </c>
    </row>
    <row r="80">
      <c r="A80" s="26" t="s">
        <v>245</v>
      </c>
      <c r="B80" s="27" t="s">
        <v>246</v>
      </c>
      <c r="C80" s="28" t="b">
        <v>1</v>
      </c>
    </row>
    <row r="81">
      <c r="A81" s="26" t="s">
        <v>185</v>
      </c>
      <c r="B81" s="29" t="s">
        <v>186</v>
      </c>
      <c r="C81" s="28" t="b">
        <v>1</v>
      </c>
      <c r="D81" s="5" t="s">
        <v>289</v>
      </c>
    </row>
    <row r="82">
      <c r="A82" s="26" t="s">
        <v>99</v>
      </c>
      <c r="B82" s="27" t="s">
        <v>100</v>
      </c>
      <c r="C82" s="28" t="b">
        <v>1</v>
      </c>
    </row>
    <row r="83">
      <c r="A83" s="26" t="s">
        <v>227</v>
      </c>
      <c r="B83" s="27" t="s">
        <v>228</v>
      </c>
      <c r="C83" s="28" t="b">
        <v>0</v>
      </c>
    </row>
    <row r="84">
      <c r="A84" s="26" t="s">
        <v>85</v>
      </c>
      <c r="B84" s="27" t="s">
        <v>86</v>
      </c>
      <c r="C84" s="28" t="b">
        <v>0</v>
      </c>
    </row>
    <row r="85">
      <c r="A85" s="26" t="s">
        <v>209</v>
      </c>
      <c r="B85" s="27" t="s">
        <v>210</v>
      </c>
      <c r="C85" s="28" t="b">
        <v>0</v>
      </c>
    </row>
    <row r="86">
      <c r="A86" s="26" t="s">
        <v>278</v>
      </c>
      <c r="B86" s="27" t="s">
        <v>279</v>
      </c>
      <c r="C86" s="28" t="b">
        <v>0</v>
      </c>
    </row>
    <row r="87">
      <c r="A87" s="26" t="s">
        <v>233</v>
      </c>
      <c r="B87" s="27" t="s">
        <v>234</v>
      </c>
      <c r="C87" s="28" t="b">
        <v>1</v>
      </c>
    </row>
    <row r="88">
      <c r="A88" s="26" t="s">
        <v>135</v>
      </c>
      <c r="B88" s="27" t="s">
        <v>136</v>
      </c>
      <c r="C88" s="28" t="b">
        <v>0</v>
      </c>
    </row>
    <row r="89">
      <c r="A89" s="26" t="s">
        <v>225</v>
      </c>
      <c r="B89" s="27" t="s">
        <v>226</v>
      </c>
      <c r="C89" s="28" t="b">
        <v>0</v>
      </c>
    </row>
    <row r="90">
      <c r="A90" s="26" t="s">
        <v>221</v>
      </c>
      <c r="B90" s="27" t="s">
        <v>222</v>
      </c>
      <c r="C90" s="28" t="b">
        <v>1</v>
      </c>
    </row>
    <row r="91">
      <c r="A91" s="26" t="s">
        <v>251</v>
      </c>
      <c r="B91" s="27" t="s">
        <v>252</v>
      </c>
      <c r="C91" s="28" t="b">
        <v>0</v>
      </c>
    </row>
    <row r="92">
      <c r="A92" s="26" t="s">
        <v>78</v>
      </c>
      <c r="B92" s="27" t="s">
        <v>79</v>
      </c>
      <c r="C92" s="28" t="b">
        <v>1</v>
      </c>
    </row>
    <row r="93">
      <c r="A93" s="26" t="s">
        <v>180</v>
      </c>
      <c r="B93" s="27" t="s">
        <v>181</v>
      </c>
      <c r="C93" s="28" t="b">
        <v>1</v>
      </c>
    </row>
    <row r="94">
      <c r="A94" s="26" t="s">
        <v>147</v>
      </c>
      <c r="B94" s="27" t="s">
        <v>148</v>
      </c>
      <c r="C94" s="28" t="b">
        <v>0</v>
      </c>
    </row>
    <row r="95">
      <c r="A95" s="26" t="s">
        <v>187</v>
      </c>
      <c r="B95" s="27" t="s">
        <v>188</v>
      </c>
      <c r="C95" s="28" t="b">
        <v>1</v>
      </c>
    </row>
    <row r="96">
      <c r="A96" s="26" t="s">
        <v>109</v>
      </c>
      <c r="B96" s="27" t="s">
        <v>110</v>
      </c>
      <c r="C96" s="28" t="b">
        <v>1</v>
      </c>
    </row>
    <row r="97">
      <c r="A97" s="26" t="s">
        <v>126</v>
      </c>
      <c r="B97" s="27" t="s">
        <v>127</v>
      </c>
      <c r="C97" s="28" t="b">
        <v>1</v>
      </c>
    </row>
    <row r="98">
      <c r="A98" s="26" t="s">
        <v>274</v>
      </c>
      <c r="B98" s="27" t="s">
        <v>275</v>
      </c>
      <c r="C98" s="28" t="b">
        <v>1</v>
      </c>
    </row>
    <row r="99">
      <c r="A99" s="26" t="s">
        <v>200</v>
      </c>
      <c r="B99" s="27" t="s">
        <v>201</v>
      </c>
      <c r="C99" s="28" t="b">
        <v>0</v>
      </c>
    </row>
    <row r="100">
      <c r="A100" s="26" t="s">
        <v>237</v>
      </c>
      <c r="B100" s="27" t="s">
        <v>238</v>
      </c>
      <c r="C100" s="28" t="b">
        <v>1</v>
      </c>
    </row>
    <row r="101">
      <c r="A101" s="26" t="s">
        <v>182</v>
      </c>
      <c r="B101" s="27" t="s">
        <v>183</v>
      </c>
      <c r="C101" s="28" t="b">
        <v>1</v>
      </c>
    </row>
  </sheetData>
  <dataValidations>
    <dataValidation type="list" allowBlank="1" showErrorMessage="1" sqref="C2:C101">
      <formula1>"TO DO,TRUE,FALSE,SKIP"</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2.63"/>
    <col customWidth="1" min="3" max="3" width="19.75"/>
    <col customWidth="1" min="4" max="4" width="60.63"/>
  </cols>
  <sheetData>
    <row r="1">
      <c r="A1" s="23" t="s">
        <v>65</v>
      </c>
      <c r="B1" s="24" t="s">
        <v>66</v>
      </c>
      <c r="C1" s="25" t="s">
        <v>67</v>
      </c>
      <c r="D1" s="19" t="s">
        <v>68</v>
      </c>
    </row>
    <row r="2">
      <c r="A2" s="26" t="s">
        <v>175</v>
      </c>
      <c r="B2" s="27" t="s">
        <v>176</v>
      </c>
      <c r="C2" s="28" t="b">
        <v>1</v>
      </c>
    </row>
    <row r="3">
      <c r="A3" s="26" t="s">
        <v>159</v>
      </c>
      <c r="B3" s="27" t="s">
        <v>160</v>
      </c>
      <c r="C3" s="28" t="b">
        <v>1</v>
      </c>
    </row>
    <row r="4">
      <c r="A4" s="26" t="s">
        <v>278</v>
      </c>
      <c r="B4" s="27" t="s">
        <v>279</v>
      </c>
      <c r="C4" s="28" t="b">
        <v>0</v>
      </c>
    </row>
    <row r="5">
      <c r="A5" s="26" t="s">
        <v>104</v>
      </c>
      <c r="B5" s="27" t="s">
        <v>105</v>
      </c>
      <c r="C5" s="28" t="b">
        <v>1</v>
      </c>
    </row>
    <row r="6">
      <c r="A6" s="26" t="s">
        <v>231</v>
      </c>
      <c r="B6" s="27" t="s">
        <v>232</v>
      </c>
      <c r="C6" s="28" t="b">
        <v>1</v>
      </c>
    </row>
    <row r="7">
      <c r="A7" s="26" t="s">
        <v>249</v>
      </c>
      <c r="B7" s="27" t="s">
        <v>250</v>
      </c>
      <c r="C7" s="28" t="b">
        <v>0</v>
      </c>
    </row>
    <row r="8">
      <c r="A8" s="26" t="s">
        <v>107</v>
      </c>
      <c r="B8" s="27" t="s">
        <v>108</v>
      </c>
      <c r="C8" s="28" t="b">
        <v>0</v>
      </c>
      <c r="D8" s="5" t="s">
        <v>290</v>
      </c>
    </row>
    <row r="9">
      <c r="A9" s="26" t="s">
        <v>173</v>
      </c>
      <c r="B9" s="27" t="s">
        <v>174</v>
      </c>
      <c r="C9" s="28" t="b">
        <v>1</v>
      </c>
    </row>
    <row r="10">
      <c r="A10" s="26" t="s">
        <v>221</v>
      </c>
      <c r="B10" s="27" t="s">
        <v>222</v>
      </c>
      <c r="C10" s="28" t="b">
        <v>1</v>
      </c>
    </row>
    <row r="11">
      <c r="A11" s="26" t="s">
        <v>245</v>
      </c>
      <c r="B11" s="27" t="s">
        <v>246</v>
      </c>
      <c r="C11" s="28" t="b">
        <v>1</v>
      </c>
    </row>
    <row r="12">
      <c r="A12" s="26" t="s">
        <v>235</v>
      </c>
      <c r="B12" s="27" t="s">
        <v>236</v>
      </c>
      <c r="C12" s="28" t="b">
        <v>1</v>
      </c>
    </row>
    <row r="13">
      <c r="A13" s="26" t="s">
        <v>73</v>
      </c>
      <c r="B13" s="27" t="s">
        <v>74</v>
      </c>
      <c r="C13" s="28" t="b">
        <v>0</v>
      </c>
      <c r="D13" s="5" t="s">
        <v>291</v>
      </c>
    </row>
    <row r="14">
      <c r="A14" s="26" t="s">
        <v>241</v>
      </c>
      <c r="B14" s="27" t="s">
        <v>242</v>
      </c>
      <c r="C14" s="28" t="b">
        <v>0</v>
      </c>
    </row>
    <row r="15">
      <c r="A15" s="26" t="s">
        <v>147</v>
      </c>
      <c r="B15" s="27" t="s">
        <v>148</v>
      </c>
      <c r="C15" s="28" t="b">
        <v>0</v>
      </c>
    </row>
    <row r="16">
      <c r="A16" s="26" t="s">
        <v>145</v>
      </c>
      <c r="B16" s="27" t="s">
        <v>146</v>
      </c>
      <c r="C16" s="28" t="b">
        <v>1</v>
      </c>
    </row>
    <row r="17">
      <c r="A17" s="26" t="s">
        <v>99</v>
      </c>
      <c r="B17" s="27" t="s">
        <v>100</v>
      </c>
      <c r="C17" s="28" t="b">
        <v>1</v>
      </c>
    </row>
    <row r="18">
      <c r="A18" s="26" t="s">
        <v>251</v>
      </c>
      <c r="B18" s="27" t="s">
        <v>252</v>
      </c>
      <c r="C18" s="28" t="b">
        <v>0</v>
      </c>
      <c r="D18" s="5" t="s">
        <v>292</v>
      </c>
    </row>
    <row r="19">
      <c r="A19" s="26" t="s">
        <v>219</v>
      </c>
      <c r="B19" s="27" t="s">
        <v>220</v>
      </c>
      <c r="C19" s="28" t="b">
        <v>1</v>
      </c>
    </row>
    <row r="20">
      <c r="A20" s="26" t="s">
        <v>91</v>
      </c>
      <c r="B20" s="27" t="s">
        <v>92</v>
      </c>
      <c r="C20" s="28" t="b">
        <v>1</v>
      </c>
    </row>
    <row r="21">
      <c r="A21" s="26" t="s">
        <v>200</v>
      </c>
      <c r="B21" s="27" t="s">
        <v>201</v>
      </c>
      <c r="C21" s="28" t="b">
        <v>0</v>
      </c>
      <c r="D21" s="5" t="s">
        <v>293</v>
      </c>
    </row>
    <row r="22">
      <c r="A22" s="26" t="s">
        <v>247</v>
      </c>
      <c r="B22" s="27" t="s">
        <v>248</v>
      </c>
      <c r="C22" s="28" t="b">
        <v>0</v>
      </c>
    </row>
    <row r="23">
      <c r="A23" s="26" t="s">
        <v>135</v>
      </c>
      <c r="B23" s="27" t="s">
        <v>136</v>
      </c>
      <c r="C23" s="28" t="b">
        <v>0</v>
      </c>
    </row>
    <row r="24">
      <c r="A24" s="26" t="s">
        <v>187</v>
      </c>
      <c r="B24" s="27" t="s">
        <v>188</v>
      </c>
      <c r="C24" s="28" t="b">
        <v>1</v>
      </c>
    </row>
    <row r="25">
      <c r="A25" s="26" t="s">
        <v>118</v>
      </c>
      <c r="B25" s="27" t="s">
        <v>119</v>
      </c>
      <c r="C25" s="28" t="b">
        <v>1</v>
      </c>
    </row>
    <row r="26">
      <c r="A26" s="26" t="s">
        <v>182</v>
      </c>
      <c r="B26" s="27" t="s">
        <v>183</v>
      </c>
      <c r="C26" s="28" t="b">
        <v>0</v>
      </c>
      <c r="D26" s="5" t="s">
        <v>294</v>
      </c>
    </row>
    <row r="27">
      <c r="A27" s="26" t="s">
        <v>204</v>
      </c>
      <c r="B27" s="27" t="s">
        <v>205</v>
      </c>
      <c r="C27" s="28" t="b">
        <v>1</v>
      </c>
      <c r="D27" s="5">
        <v>4.7</v>
      </c>
    </row>
    <row r="28">
      <c r="A28" s="26" t="s">
        <v>71</v>
      </c>
      <c r="B28" s="27" t="s">
        <v>72</v>
      </c>
      <c r="C28" s="28" t="b">
        <v>0</v>
      </c>
    </row>
    <row r="29">
      <c r="A29" s="26" t="s">
        <v>280</v>
      </c>
      <c r="B29" s="27" t="s">
        <v>281</v>
      </c>
      <c r="C29" s="28" t="b">
        <v>0</v>
      </c>
    </row>
    <row r="30">
      <c r="A30" s="26" t="s">
        <v>121</v>
      </c>
      <c r="B30" s="27" t="s">
        <v>122</v>
      </c>
      <c r="C30" s="28" t="b">
        <v>1</v>
      </c>
    </row>
    <row r="31">
      <c r="A31" s="26" t="s">
        <v>161</v>
      </c>
      <c r="B31" s="27" t="s">
        <v>162</v>
      </c>
      <c r="C31" s="28" t="b">
        <v>1</v>
      </c>
    </row>
    <row r="32">
      <c r="A32" s="26" t="s">
        <v>215</v>
      </c>
      <c r="B32" s="27" t="s">
        <v>216</v>
      </c>
      <c r="C32" s="28" t="b">
        <v>0</v>
      </c>
    </row>
    <row r="33">
      <c r="A33" s="26" t="s">
        <v>83</v>
      </c>
      <c r="B33" s="27" t="s">
        <v>84</v>
      </c>
      <c r="C33" s="28" t="b">
        <v>0</v>
      </c>
    </row>
    <row r="34">
      <c r="A34" s="26" t="s">
        <v>87</v>
      </c>
      <c r="B34" s="27" t="s">
        <v>88</v>
      </c>
      <c r="C34" s="28" t="b">
        <v>1</v>
      </c>
      <c r="D34" s="5">
        <v>4.6</v>
      </c>
    </row>
    <row r="35">
      <c r="A35" s="26" t="s">
        <v>78</v>
      </c>
      <c r="B35" s="27" t="s">
        <v>79</v>
      </c>
      <c r="C35" s="28" t="b">
        <v>1</v>
      </c>
    </row>
    <row r="36">
      <c r="A36" s="26" t="s">
        <v>243</v>
      </c>
      <c r="B36" s="27" t="s">
        <v>244</v>
      </c>
      <c r="C36" s="28" t="b">
        <v>0</v>
      </c>
    </row>
    <row r="37">
      <c r="A37" s="26" t="s">
        <v>93</v>
      </c>
      <c r="B37" s="27" t="s">
        <v>94</v>
      </c>
      <c r="C37" s="28" t="b">
        <v>1</v>
      </c>
      <c r="D37" s="5" t="s">
        <v>295</v>
      </c>
    </row>
    <row r="38">
      <c r="A38" s="26" t="s">
        <v>169</v>
      </c>
      <c r="B38" s="27" t="s">
        <v>170</v>
      </c>
      <c r="C38" s="28" t="b">
        <v>0</v>
      </c>
    </row>
    <row r="39">
      <c r="A39" s="26" t="s">
        <v>157</v>
      </c>
      <c r="B39" s="27" t="s">
        <v>158</v>
      </c>
      <c r="C39" s="28" t="b">
        <v>1</v>
      </c>
    </row>
    <row r="40">
      <c r="A40" s="26" t="s">
        <v>276</v>
      </c>
      <c r="B40" s="27" t="s">
        <v>277</v>
      </c>
      <c r="C40" s="28" t="b">
        <v>0</v>
      </c>
    </row>
    <row r="41">
      <c r="A41" s="26" t="s">
        <v>227</v>
      </c>
      <c r="B41" s="27" t="s">
        <v>228</v>
      </c>
      <c r="C41" s="28" t="b">
        <v>0</v>
      </c>
    </row>
    <row r="42">
      <c r="A42" s="26" t="s">
        <v>95</v>
      </c>
      <c r="B42" s="27" t="s">
        <v>96</v>
      </c>
      <c r="C42" s="28" t="b">
        <v>0</v>
      </c>
    </row>
    <row r="43">
      <c r="A43" s="26" t="s">
        <v>85</v>
      </c>
      <c r="B43" s="27" t="s">
        <v>86</v>
      </c>
      <c r="C43" s="28" t="b">
        <v>1</v>
      </c>
      <c r="D43" s="5">
        <v>4.4</v>
      </c>
    </row>
    <row r="44">
      <c r="A44" s="26" t="s">
        <v>116</v>
      </c>
      <c r="B44" s="27" t="s">
        <v>117</v>
      </c>
      <c r="C44" s="28" t="b">
        <v>0</v>
      </c>
    </row>
    <row r="45">
      <c r="A45" s="26" t="s">
        <v>264</v>
      </c>
      <c r="B45" s="27" t="s">
        <v>265</v>
      </c>
      <c r="C45" s="28" t="b">
        <v>1</v>
      </c>
    </row>
    <row r="46">
      <c r="A46" s="26" t="s">
        <v>193</v>
      </c>
      <c r="B46" s="27" t="s">
        <v>194</v>
      </c>
      <c r="C46" s="28" t="b">
        <v>1</v>
      </c>
    </row>
    <row r="47">
      <c r="A47" s="26" t="s">
        <v>197</v>
      </c>
      <c r="B47" s="27" t="s">
        <v>198</v>
      </c>
      <c r="C47" s="28" t="b">
        <v>1</v>
      </c>
    </row>
    <row r="48">
      <c r="A48" s="26" t="s">
        <v>167</v>
      </c>
      <c r="B48" s="27" t="s">
        <v>168</v>
      </c>
      <c r="C48" s="28" t="b">
        <v>1</v>
      </c>
      <c r="D48" s="5" t="s">
        <v>296</v>
      </c>
    </row>
    <row r="49">
      <c r="A49" s="26" t="s">
        <v>260</v>
      </c>
      <c r="B49" s="27" t="s">
        <v>261</v>
      </c>
      <c r="C49" s="28" t="b">
        <v>0</v>
      </c>
    </row>
    <row r="50">
      <c r="A50" s="26" t="s">
        <v>185</v>
      </c>
      <c r="B50" s="27" t="s">
        <v>186</v>
      </c>
      <c r="C50" s="28" t="b">
        <v>1</v>
      </c>
    </row>
    <row r="51">
      <c r="A51" s="26" t="s">
        <v>76</v>
      </c>
      <c r="B51" s="27" t="s">
        <v>77</v>
      </c>
      <c r="C51" s="28" t="b">
        <v>1</v>
      </c>
    </row>
    <row r="52">
      <c r="A52" s="26" t="s">
        <v>268</v>
      </c>
      <c r="B52" s="27" t="s">
        <v>269</v>
      </c>
      <c r="C52" s="28" t="b">
        <v>0</v>
      </c>
    </row>
    <row r="53">
      <c r="A53" s="26" t="s">
        <v>132</v>
      </c>
      <c r="B53" s="27" t="s">
        <v>133</v>
      </c>
      <c r="C53" s="28" t="b">
        <v>1</v>
      </c>
      <c r="D53" s="5" t="s">
        <v>297</v>
      </c>
    </row>
    <row r="54">
      <c r="A54" s="26" t="s">
        <v>239</v>
      </c>
      <c r="B54" s="27" t="s">
        <v>240</v>
      </c>
      <c r="C54" s="28" t="b">
        <v>1</v>
      </c>
    </row>
    <row r="55">
      <c r="A55" s="26" t="s">
        <v>272</v>
      </c>
      <c r="B55" s="27" t="s">
        <v>273</v>
      </c>
      <c r="C55" s="28" t="b">
        <v>0</v>
      </c>
    </row>
    <row r="56">
      <c r="A56" s="26" t="s">
        <v>155</v>
      </c>
      <c r="B56" s="27" t="s">
        <v>156</v>
      </c>
      <c r="C56" s="28" t="b">
        <v>0</v>
      </c>
      <c r="D56" s="5" t="s">
        <v>298</v>
      </c>
    </row>
    <row r="57">
      <c r="A57" s="26" t="s">
        <v>270</v>
      </c>
      <c r="B57" s="27" t="s">
        <v>271</v>
      </c>
      <c r="C57" s="28" t="b">
        <v>0</v>
      </c>
    </row>
    <row r="58">
      <c r="A58" s="26" t="s">
        <v>163</v>
      </c>
      <c r="B58" s="27" t="s">
        <v>164</v>
      </c>
      <c r="C58" s="28" t="b">
        <v>1</v>
      </c>
    </row>
    <row r="59">
      <c r="A59" s="26" t="s">
        <v>143</v>
      </c>
      <c r="B59" s="27" t="s">
        <v>144</v>
      </c>
      <c r="C59" s="28" t="b">
        <v>0</v>
      </c>
    </row>
    <row r="60">
      <c r="A60" s="26" t="s">
        <v>137</v>
      </c>
      <c r="B60" s="27" t="s">
        <v>138</v>
      </c>
      <c r="C60" s="28" t="b">
        <v>1</v>
      </c>
    </row>
    <row r="61">
      <c r="A61" s="26" t="s">
        <v>217</v>
      </c>
      <c r="B61" s="27" t="s">
        <v>218</v>
      </c>
      <c r="C61" s="28" t="b">
        <v>0</v>
      </c>
    </row>
    <row r="62">
      <c r="A62" s="26" t="s">
        <v>114</v>
      </c>
      <c r="B62" s="27" t="s">
        <v>115</v>
      </c>
      <c r="C62" s="28" t="b">
        <v>0</v>
      </c>
    </row>
    <row r="63">
      <c r="A63" s="26" t="s">
        <v>225</v>
      </c>
      <c r="B63" s="27" t="s">
        <v>226</v>
      </c>
      <c r="C63" s="28" t="b">
        <v>0</v>
      </c>
    </row>
    <row r="64">
      <c r="A64" s="26" t="s">
        <v>211</v>
      </c>
      <c r="B64" s="27" t="s">
        <v>212</v>
      </c>
      <c r="C64" s="28" t="b">
        <v>1</v>
      </c>
      <c r="D64" s="5" t="s">
        <v>299</v>
      </c>
    </row>
    <row r="65">
      <c r="A65" s="26" t="s">
        <v>109</v>
      </c>
      <c r="B65" s="27" t="s">
        <v>110</v>
      </c>
      <c r="C65" s="28" t="b">
        <v>1</v>
      </c>
      <c r="D65" s="5" t="s">
        <v>300</v>
      </c>
    </row>
    <row r="66">
      <c r="A66" s="26" t="s">
        <v>177</v>
      </c>
      <c r="B66" s="27" t="s">
        <v>178</v>
      </c>
      <c r="C66" s="28" t="b">
        <v>1</v>
      </c>
    </row>
    <row r="67">
      <c r="A67" s="26" t="s">
        <v>69</v>
      </c>
      <c r="B67" s="27" t="s">
        <v>70</v>
      </c>
      <c r="C67" s="28" t="b">
        <v>0</v>
      </c>
      <c r="D67" s="5" t="s">
        <v>301</v>
      </c>
    </row>
    <row r="68">
      <c r="A68" s="26" t="s">
        <v>206</v>
      </c>
      <c r="B68" s="27" t="s">
        <v>207</v>
      </c>
      <c r="C68" s="28" t="b">
        <v>1</v>
      </c>
      <c r="D68" s="5" t="s">
        <v>302</v>
      </c>
    </row>
    <row r="69">
      <c r="A69" s="26" t="s">
        <v>180</v>
      </c>
      <c r="B69" s="27" t="s">
        <v>181</v>
      </c>
      <c r="C69" s="28" t="b">
        <v>1</v>
      </c>
    </row>
    <row r="70">
      <c r="A70" s="26" t="s">
        <v>89</v>
      </c>
      <c r="B70" s="27" t="s">
        <v>90</v>
      </c>
      <c r="C70" s="28" t="b">
        <v>1</v>
      </c>
    </row>
    <row r="71">
      <c r="A71" s="26" t="s">
        <v>165</v>
      </c>
      <c r="B71" s="27" t="s">
        <v>166</v>
      </c>
      <c r="C71" s="28" t="b">
        <v>1</v>
      </c>
    </row>
    <row r="72">
      <c r="A72" s="26" t="s">
        <v>171</v>
      </c>
      <c r="B72" s="27" t="s">
        <v>172</v>
      </c>
      <c r="C72" s="28" t="b">
        <v>0</v>
      </c>
    </row>
    <row r="73">
      <c r="A73" s="26" t="s">
        <v>151</v>
      </c>
      <c r="B73" s="27" t="s">
        <v>152</v>
      </c>
      <c r="C73" s="28" t="b">
        <v>0</v>
      </c>
      <c r="D73" s="5" t="s">
        <v>303</v>
      </c>
    </row>
    <row r="74">
      <c r="A74" s="26" t="s">
        <v>274</v>
      </c>
      <c r="B74" s="27" t="s">
        <v>275</v>
      </c>
      <c r="C74" s="28" t="b">
        <v>1</v>
      </c>
    </row>
    <row r="75">
      <c r="A75" s="26" t="s">
        <v>141</v>
      </c>
      <c r="B75" s="27" t="s">
        <v>142</v>
      </c>
      <c r="C75" s="28" t="b">
        <v>0</v>
      </c>
    </row>
    <row r="76">
      <c r="A76" s="26" t="s">
        <v>258</v>
      </c>
      <c r="B76" s="27" t="s">
        <v>259</v>
      </c>
      <c r="C76" s="28" t="b">
        <v>1</v>
      </c>
      <c r="D76" s="5" t="s">
        <v>304</v>
      </c>
    </row>
    <row r="77">
      <c r="A77" s="26" t="s">
        <v>111</v>
      </c>
      <c r="B77" s="27" t="s">
        <v>112</v>
      </c>
      <c r="C77" s="28" t="b">
        <v>1</v>
      </c>
    </row>
    <row r="78">
      <c r="A78" s="26" t="s">
        <v>223</v>
      </c>
      <c r="B78" s="27" t="s">
        <v>224</v>
      </c>
      <c r="C78" s="28" t="b">
        <v>0</v>
      </c>
    </row>
    <row r="79">
      <c r="A79" s="26" t="s">
        <v>229</v>
      </c>
      <c r="B79" s="27" t="s">
        <v>230</v>
      </c>
      <c r="C79" s="28" t="b">
        <v>1</v>
      </c>
    </row>
    <row r="80">
      <c r="A80" s="26" t="s">
        <v>189</v>
      </c>
      <c r="B80" s="27" t="s">
        <v>190</v>
      </c>
      <c r="C80" s="28" t="b">
        <v>1</v>
      </c>
    </row>
    <row r="81">
      <c r="A81" s="26" t="s">
        <v>191</v>
      </c>
      <c r="B81" s="27" t="s">
        <v>192</v>
      </c>
      <c r="C81" s="28" t="b">
        <v>0</v>
      </c>
    </row>
    <row r="82">
      <c r="A82" s="26" t="s">
        <v>149</v>
      </c>
      <c r="B82" s="27" t="s">
        <v>150</v>
      </c>
      <c r="C82" s="28" t="b">
        <v>1</v>
      </c>
      <c r="D82" s="5" t="s">
        <v>305</v>
      </c>
    </row>
    <row r="83">
      <c r="A83" s="26" t="s">
        <v>253</v>
      </c>
      <c r="B83" s="27" t="s">
        <v>254</v>
      </c>
      <c r="C83" s="28" t="b">
        <v>1</v>
      </c>
      <c r="D83" s="5">
        <v>4.5</v>
      </c>
    </row>
    <row r="84">
      <c r="A84" s="26" t="s">
        <v>130</v>
      </c>
      <c r="B84" s="27" t="s">
        <v>131</v>
      </c>
      <c r="C84" s="28" t="b">
        <v>0</v>
      </c>
    </row>
    <row r="85">
      <c r="A85" s="26" t="s">
        <v>266</v>
      </c>
      <c r="B85" s="27" t="s">
        <v>267</v>
      </c>
      <c r="C85" s="28" t="b">
        <v>1</v>
      </c>
      <c r="D85" s="5" t="s">
        <v>306</v>
      </c>
    </row>
    <row r="86">
      <c r="A86" s="26" t="s">
        <v>139</v>
      </c>
      <c r="B86" s="27" t="s">
        <v>140</v>
      </c>
      <c r="C86" s="28" t="b">
        <v>0</v>
      </c>
    </row>
    <row r="87">
      <c r="A87" s="26" t="s">
        <v>213</v>
      </c>
      <c r="B87" s="27" t="s">
        <v>214</v>
      </c>
      <c r="C87" s="28" t="b">
        <v>0</v>
      </c>
    </row>
    <row r="88">
      <c r="A88" s="26" t="s">
        <v>153</v>
      </c>
      <c r="B88" s="27" t="s">
        <v>154</v>
      </c>
      <c r="C88" s="28" t="b">
        <v>0</v>
      </c>
    </row>
    <row r="89">
      <c r="A89" s="26" t="s">
        <v>123</v>
      </c>
      <c r="B89" s="27" t="s">
        <v>124</v>
      </c>
      <c r="C89" s="28" t="b">
        <v>1</v>
      </c>
    </row>
    <row r="90">
      <c r="A90" s="26" t="s">
        <v>81</v>
      </c>
      <c r="B90" s="27" t="s">
        <v>82</v>
      </c>
      <c r="C90" s="28" t="b">
        <v>0</v>
      </c>
    </row>
    <row r="91">
      <c r="A91" s="26" t="s">
        <v>256</v>
      </c>
      <c r="B91" s="27" t="s">
        <v>257</v>
      </c>
      <c r="C91" s="28" t="b">
        <v>1</v>
      </c>
    </row>
    <row r="92">
      <c r="A92" s="26" t="s">
        <v>233</v>
      </c>
      <c r="B92" s="27" t="s">
        <v>234</v>
      </c>
      <c r="C92" s="28" t="b">
        <v>1</v>
      </c>
    </row>
    <row r="93">
      <c r="A93" s="26" t="s">
        <v>262</v>
      </c>
      <c r="B93" s="27" t="s">
        <v>263</v>
      </c>
      <c r="C93" s="28" t="b">
        <v>1</v>
      </c>
    </row>
    <row r="94">
      <c r="A94" s="26" t="s">
        <v>209</v>
      </c>
      <c r="B94" s="27" t="s">
        <v>210</v>
      </c>
      <c r="C94" s="28" t="b">
        <v>0</v>
      </c>
      <c r="D94" s="5" t="s">
        <v>307</v>
      </c>
    </row>
    <row r="95">
      <c r="A95" s="26" t="s">
        <v>97</v>
      </c>
      <c r="B95" s="27" t="s">
        <v>98</v>
      </c>
      <c r="C95" s="28" t="b">
        <v>0</v>
      </c>
    </row>
    <row r="96">
      <c r="A96" s="26" t="s">
        <v>195</v>
      </c>
      <c r="B96" s="27" t="s">
        <v>196</v>
      </c>
      <c r="C96" s="28" t="b">
        <v>0</v>
      </c>
      <c r="D96" s="5" t="s">
        <v>308</v>
      </c>
    </row>
    <row r="97">
      <c r="A97" s="26" t="s">
        <v>202</v>
      </c>
      <c r="B97" s="27" t="s">
        <v>203</v>
      </c>
      <c r="C97" s="28" t="b">
        <v>0</v>
      </c>
    </row>
    <row r="98">
      <c r="A98" s="26" t="s">
        <v>126</v>
      </c>
      <c r="B98" s="27" t="s">
        <v>127</v>
      </c>
      <c r="C98" s="28" t="b">
        <v>0</v>
      </c>
      <c r="D98" s="5" t="s">
        <v>309</v>
      </c>
    </row>
    <row r="99">
      <c r="A99" s="26" t="s">
        <v>128</v>
      </c>
      <c r="B99" s="27" t="s">
        <v>129</v>
      </c>
      <c r="C99" s="28" t="b">
        <v>0</v>
      </c>
      <c r="D99" s="5" t="s">
        <v>309</v>
      </c>
    </row>
    <row r="100">
      <c r="A100" s="26" t="s">
        <v>101</v>
      </c>
      <c r="B100" s="27" t="s">
        <v>102</v>
      </c>
      <c r="C100" s="28" t="b">
        <v>1</v>
      </c>
    </row>
    <row r="101">
      <c r="A101" s="26" t="s">
        <v>237</v>
      </c>
      <c r="B101" s="27" t="s">
        <v>238</v>
      </c>
      <c r="C101" s="28" t="b">
        <v>0</v>
      </c>
    </row>
  </sheetData>
  <dataValidations>
    <dataValidation type="list" allowBlank="1" showErrorMessage="1" sqref="C2:C101">
      <formula1>"TO DO,TRUE,FALSE,SKIP"</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0.25"/>
    <col customWidth="1" min="11" max="11" width="17.13"/>
  </cols>
  <sheetData>
    <row r="1">
      <c r="A1" s="31" t="s">
        <v>310</v>
      </c>
      <c r="B1" s="31" t="s">
        <v>311</v>
      </c>
      <c r="C1" s="31" t="s">
        <v>312</v>
      </c>
      <c r="D1" s="31" t="s">
        <v>313</v>
      </c>
      <c r="E1" s="31" t="s">
        <v>314</v>
      </c>
      <c r="F1" s="31" t="s">
        <v>315</v>
      </c>
      <c r="G1" s="31" t="s">
        <v>316</v>
      </c>
      <c r="H1" s="31" t="s">
        <v>317</v>
      </c>
      <c r="I1" s="32" t="s">
        <v>318</v>
      </c>
      <c r="J1" s="31" t="s">
        <v>319</v>
      </c>
      <c r="K1" s="33" t="s">
        <v>320</v>
      </c>
    </row>
    <row r="2">
      <c r="A2" s="34" t="s">
        <v>321</v>
      </c>
      <c r="B2" s="34" t="s">
        <v>268</v>
      </c>
      <c r="C2" s="34" t="s">
        <v>269</v>
      </c>
      <c r="D2" s="35">
        <v>4.0</v>
      </c>
      <c r="E2" s="36">
        <v>9.0</v>
      </c>
      <c r="F2" s="36">
        <v>0.0</v>
      </c>
      <c r="G2" s="36">
        <v>9.0</v>
      </c>
      <c r="H2" s="36">
        <v>1.0</v>
      </c>
      <c r="I2" s="37" t="b">
        <v>0</v>
      </c>
      <c r="J2" s="12" t="s">
        <v>322</v>
      </c>
      <c r="K2" s="13" t="s">
        <v>323</v>
      </c>
    </row>
    <row r="3">
      <c r="A3" s="34" t="s">
        <v>324</v>
      </c>
      <c r="B3" s="34" t="s">
        <v>71</v>
      </c>
      <c r="C3" s="34" t="s">
        <v>72</v>
      </c>
      <c r="D3" s="35">
        <v>4.0</v>
      </c>
      <c r="E3" s="36">
        <v>0.0</v>
      </c>
      <c r="F3" s="36">
        <v>11.0</v>
      </c>
      <c r="G3" s="36">
        <v>11.0</v>
      </c>
      <c r="H3" s="36">
        <v>1.0</v>
      </c>
      <c r="I3" s="37" t="b">
        <v>1</v>
      </c>
      <c r="J3" s="12" t="s">
        <v>322</v>
      </c>
      <c r="K3" s="13" t="s">
        <v>323</v>
      </c>
    </row>
    <row r="4">
      <c r="A4" s="34" t="s">
        <v>325</v>
      </c>
      <c r="B4" s="34" t="s">
        <v>151</v>
      </c>
      <c r="C4" s="34" t="s">
        <v>152</v>
      </c>
      <c r="D4" s="35">
        <v>4.0</v>
      </c>
      <c r="E4" s="36">
        <v>0.0</v>
      </c>
      <c r="F4" s="36">
        <v>12.0</v>
      </c>
      <c r="G4" s="36">
        <v>12.0</v>
      </c>
      <c r="H4" s="36">
        <v>1.0</v>
      </c>
      <c r="I4" s="37" t="b">
        <v>1</v>
      </c>
      <c r="J4" s="12" t="s">
        <v>322</v>
      </c>
      <c r="K4" s="13" t="s">
        <v>323</v>
      </c>
    </row>
    <row r="5">
      <c r="A5" s="34" t="s">
        <v>326</v>
      </c>
      <c r="B5" s="34" t="s">
        <v>202</v>
      </c>
      <c r="C5" s="34" t="s">
        <v>203</v>
      </c>
      <c r="D5" s="35">
        <v>4.0</v>
      </c>
      <c r="E5" s="36">
        <v>10.0</v>
      </c>
      <c r="F5" s="36">
        <v>0.0</v>
      </c>
      <c r="G5" s="36">
        <v>10.0</v>
      </c>
      <c r="H5" s="36">
        <v>1.0</v>
      </c>
      <c r="I5" s="37" t="b">
        <v>0</v>
      </c>
      <c r="J5" s="12" t="s">
        <v>322</v>
      </c>
      <c r="K5" s="13" t="s">
        <v>323</v>
      </c>
    </row>
    <row r="6">
      <c r="A6" s="34" t="s">
        <v>327</v>
      </c>
      <c r="B6" s="34" t="s">
        <v>272</v>
      </c>
      <c r="C6" s="34" t="s">
        <v>273</v>
      </c>
      <c r="D6" s="35">
        <v>4.0</v>
      </c>
      <c r="E6" s="36">
        <v>9.0</v>
      </c>
      <c r="F6" s="36">
        <v>0.0</v>
      </c>
      <c r="G6" s="36">
        <v>9.0</v>
      </c>
      <c r="H6" s="36">
        <v>1.0</v>
      </c>
      <c r="I6" s="37" t="b">
        <v>0</v>
      </c>
      <c r="J6" s="12" t="s">
        <v>322</v>
      </c>
      <c r="K6" s="13" t="s">
        <v>323</v>
      </c>
    </row>
    <row r="7">
      <c r="A7" s="34" t="s">
        <v>326</v>
      </c>
      <c r="B7" s="34" t="s">
        <v>139</v>
      </c>
      <c r="C7" s="34" t="s">
        <v>140</v>
      </c>
      <c r="D7" s="35">
        <v>4.0</v>
      </c>
      <c r="E7" s="36">
        <v>9.0</v>
      </c>
      <c r="F7" s="36">
        <v>0.0</v>
      </c>
      <c r="G7" s="36">
        <v>9.0</v>
      </c>
      <c r="H7" s="36">
        <v>1.0</v>
      </c>
      <c r="I7" s="37" t="b">
        <v>0</v>
      </c>
      <c r="J7" s="12" t="s">
        <v>322</v>
      </c>
      <c r="K7" s="13" t="s">
        <v>323</v>
      </c>
    </row>
    <row r="8">
      <c r="A8" s="34" t="s">
        <v>328</v>
      </c>
      <c r="B8" s="34" t="s">
        <v>171</v>
      </c>
      <c r="C8" s="34" t="s">
        <v>172</v>
      </c>
      <c r="D8" s="35">
        <v>4.0</v>
      </c>
      <c r="E8" s="36">
        <v>9.0</v>
      </c>
      <c r="F8" s="36">
        <v>0.0</v>
      </c>
      <c r="G8" s="36">
        <v>9.0</v>
      </c>
      <c r="H8" s="36">
        <v>1.0</v>
      </c>
      <c r="I8" s="37" t="b">
        <v>0</v>
      </c>
      <c r="J8" s="12" t="s">
        <v>322</v>
      </c>
      <c r="K8" s="13" t="s">
        <v>323</v>
      </c>
    </row>
    <row r="9">
      <c r="A9" s="34" t="s">
        <v>329</v>
      </c>
      <c r="B9" s="34" t="s">
        <v>258</v>
      </c>
      <c r="C9" s="34" t="s">
        <v>259</v>
      </c>
      <c r="D9" s="35">
        <v>4.0</v>
      </c>
      <c r="E9" s="36">
        <v>0.0</v>
      </c>
      <c r="F9" s="36">
        <v>11.0</v>
      </c>
      <c r="G9" s="36">
        <v>11.0</v>
      </c>
      <c r="H9" s="36">
        <v>1.0</v>
      </c>
      <c r="I9" s="37" t="b">
        <v>1</v>
      </c>
      <c r="J9" s="12" t="s">
        <v>322</v>
      </c>
      <c r="K9" s="13" t="s">
        <v>323</v>
      </c>
    </row>
    <row r="10">
      <c r="A10" s="34" t="s">
        <v>330</v>
      </c>
      <c r="B10" s="34" t="s">
        <v>221</v>
      </c>
      <c r="C10" s="34" t="s">
        <v>222</v>
      </c>
      <c r="D10" s="35">
        <v>4.0</v>
      </c>
      <c r="E10" s="36">
        <v>1.0</v>
      </c>
      <c r="F10" s="36">
        <v>11.0</v>
      </c>
      <c r="G10" s="36">
        <v>12.0</v>
      </c>
      <c r="H10" s="36">
        <v>0.833333333333333</v>
      </c>
      <c r="I10" s="37" t="b">
        <v>1</v>
      </c>
      <c r="J10" s="12" t="s">
        <v>322</v>
      </c>
      <c r="K10" s="13" t="s">
        <v>323</v>
      </c>
    </row>
    <row r="11">
      <c r="A11" s="34" t="s">
        <v>326</v>
      </c>
      <c r="B11" s="34" t="s">
        <v>231</v>
      </c>
      <c r="C11" s="34" t="s">
        <v>232</v>
      </c>
      <c r="D11" s="35">
        <v>4.0</v>
      </c>
      <c r="E11" s="36">
        <v>1.0</v>
      </c>
      <c r="F11" s="36">
        <v>10.0</v>
      </c>
      <c r="G11" s="36">
        <v>11.0</v>
      </c>
      <c r="H11" s="36">
        <v>0.818181818181818</v>
      </c>
      <c r="I11" s="37" t="b">
        <v>1</v>
      </c>
      <c r="J11" s="12" t="s">
        <v>322</v>
      </c>
      <c r="K11" s="13" t="s">
        <v>323</v>
      </c>
    </row>
    <row r="12">
      <c r="A12" s="34" t="s">
        <v>331</v>
      </c>
      <c r="B12" s="34" t="s">
        <v>93</v>
      </c>
      <c r="C12" s="34" t="s">
        <v>94</v>
      </c>
      <c r="D12" s="35">
        <v>4.0</v>
      </c>
      <c r="E12" s="36">
        <v>1.0</v>
      </c>
      <c r="F12" s="36">
        <v>9.0</v>
      </c>
      <c r="G12" s="36">
        <v>10.0</v>
      </c>
      <c r="H12" s="36">
        <v>0.8</v>
      </c>
      <c r="I12" s="37" t="b">
        <v>1</v>
      </c>
      <c r="J12" s="12" t="s">
        <v>332</v>
      </c>
      <c r="K12" s="13" t="s">
        <v>323</v>
      </c>
    </row>
    <row r="13">
      <c r="A13" s="34" t="s">
        <v>333</v>
      </c>
      <c r="B13" s="34" t="s">
        <v>137</v>
      </c>
      <c r="C13" s="34" t="s">
        <v>138</v>
      </c>
      <c r="D13" s="35">
        <v>4.0</v>
      </c>
      <c r="E13" s="36">
        <v>1.0</v>
      </c>
      <c r="F13" s="36">
        <v>9.0</v>
      </c>
      <c r="G13" s="36">
        <v>10.0</v>
      </c>
      <c r="H13" s="36">
        <v>0.8</v>
      </c>
      <c r="I13" s="37" t="b">
        <v>1</v>
      </c>
      <c r="J13" s="12" t="s">
        <v>332</v>
      </c>
      <c r="K13" s="13" t="s">
        <v>323</v>
      </c>
    </row>
    <row r="14">
      <c r="A14" s="34" t="s">
        <v>334</v>
      </c>
      <c r="B14" s="34" t="s">
        <v>109</v>
      </c>
      <c r="C14" s="34" t="s">
        <v>110</v>
      </c>
      <c r="D14" s="35">
        <v>4.0</v>
      </c>
      <c r="E14" s="36">
        <v>1.0</v>
      </c>
      <c r="F14" s="36">
        <v>9.0</v>
      </c>
      <c r="G14" s="36">
        <v>10.0</v>
      </c>
      <c r="H14" s="36">
        <v>0.8</v>
      </c>
      <c r="I14" s="37" t="b">
        <v>1</v>
      </c>
      <c r="J14" s="12" t="s">
        <v>332</v>
      </c>
      <c r="K14" s="13" t="s">
        <v>323</v>
      </c>
    </row>
    <row r="15">
      <c r="A15" s="34" t="s">
        <v>335</v>
      </c>
      <c r="B15" s="34" t="s">
        <v>132</v>
      </c>
      <c r="C15" s="34" t="s">
        <v>133</v>
      </c>
      <c r="D15" s="35">
        <v>4.0</v>
      </c>
      <c r="E15" s="36">
        <v>106.0</v>
      </c>
      <c r="F15" s="36">
        <v>859.0</v>
      </c>
      <c r="G15" s="36">
        <v>965.0</v>
      </c>
      <c r="H15" s="36">
        <v>0.780310880829015</v>
      </c>
      <c r="I15" s="37" t="b">
        <v>1</v>
      </c>
      <c r="J15" s="12" t="s">
        <v>332</v>
      </c>
      <c r="K15" s="13" t="s">
        <v>323</v>
      </c>
    </row>
    <row r="16">
      <c r="A16" s="34" t="s">
        <v>336</v>
      </c>
      <c r="B16" s="34" t="s">
        <v>213</v>
      </c>
      <c r="C16" s="34" t="s">
        <v>214</v>
      </c>
      <c r="D16" s="35">
        <v>4.0</v>
      </c>
      <c r="E16" s="36">
        <v>8.0</v>
      </c>
      <c r="F16" s="36">
        <v>1.0</v>
      </c>
      <c r="G16" s="36">
        <v>9.0</v>
      </c>
      <c r="H16" s="36">
        <v>0.777777777777777</v>
      </c>
      <c r="I16" s="37" t="b">
        <v>0</v>
      </c>
      <c r="J16" s="12" t="s">
        <v>332</v>
      </c>
      <c r="K16" s="13" t="s">
        <v>323</v>
      </c>
    </row>
    <row r="17">
      <c r="A17" s="34" t="s">
        <v>337</v>
      </c>
      <c r="B17" s="34" t="s">
        <v>130</v>
      </c>
      <c r="C17" s="34" t="s">
        <v>131</v>
      </c>
      <c r="D17" s="35">
        <v>4.0</v>
      </c>
      <c r="E17" s="36">
        <v>8.0</v>
      </c>
      <c r="F17" s="36">
        <v>1.0</v>
      </c>
      <c r="G17" s="36">
        <v>9.0</v>
      </c>
      <c r="H17" s="36">
        <v>0.777777777777777</v>
      </c>
      <c r="I17" s="37" t="b">
        <v>0</v>
      </c>
      <c r="J17" s="12" t="s">
        <v>332</v>
      </c>
      <c r="K17" s="13" t="s">
        <v>323</v>
      </c>
    </row>
    <row r="18">
      <c r="A18" s="34" t="s">
        <v>338</v>
      </c>
      <c r="B18" s="34" t="s">
        <v>135</v>
      </c>
      <c r="C18" s="34" t="s">
        <v>136</v>
      </c>
      <c r="D18" s="35">
        <v>4.0</v>
      </c>
      <c r="E18" s="36">
        <v>8.0</v>
      </c>
      <c r="F18" s="36">
        <v>1.0</v>
      </c>
      <c r="G18" s="36">
        <v>9.0</v>
      </c>
      <c r="H18" s="36">
        <v>0.777777777777777</v>
      </c>
      <c r="I18" s="37" t="b">
        <v>0</v>
      </c>
      <c r="J18" s="12" t="s">
        <v>332</v>
      </c>
      <c r="K18" s="13" t="s">
        <v>323</v>
      </c>
    </row>
    <row r="19">
      <c r="A19" s="34" t="s">
        <v>339</v>
      </c>
      <c r="B19" s="34" t="s">
        <v>276</v>
      </c>
      <c r="C19" s="34" t="s">
        <v>277</v>
      </c>
      <c r="D19" s="35">
        <v>4.0</v>
      </c>
      <c r="E19" s="36">
        <v>8.0</v>
      </c>
      <c r="F19" s="36">
        <v>1.0</v>
      </c>
      <c r="G19" s="36">
        <v>9.0</v>
      </c>
      <c r="H19" s="36">
        <v>0.777777777777777</v>
      </c>
      <c r="I19" s="37" t="b">
        <v>0</v>
      </c>
      <c r="J19" s="12" t="s">
        <v>332</v>
      </c>
      <c r="K19" s="13" t="s">
        <v>323</v>
      </c>
    </row>
    <row r="20">
      <c r="A20" s="34" t="s">
        <v>340</v>
      </c>
      <c r="B20" s="34" t="s">
        <v>280</v>
      </c>
      <c r="C20" s="34" t="s">
        <v>281</v>
      </c>
      <c r="D20" s="35">
        <v>4.0</v>
      </c>
      <c r="E20" s="36">
        <v>8.0</v>
      </c>
      <c r="F20" s="36">
        <v>1.0</v>
      </c>
      <c r="G20" s="36">
        <v>9.0</v>
      </c>
      <c r="H20" s="36">
        <v>0.777777777777777</v>
      </c>
      <c r="I20" s="37" t="b">
        <v>0</v>
      </c>
      <c r="J20" s="12" t="s">
        <v>332</v>
      </c>
      <c r="K20" s="13" t="s">
        <v>323</v>
      </c>
    </row>
    <row r="21">
      <c r="A21" s="34" t="s">
        <v>326</v>
      </c>
      <c r="B21" s="34" t="s">
        <v>177</v>
      </c>
      <c r="C21" s="34" t="s">
        <v>178</v>
      </c>
      <c r="D21" s="35">
        <v>4.0</v>
      </c>
      <c r="E21" s="36">
        <v>2.0</v>
      </c>
      <c r="F21" s="36">
        <v>10.0</v>
      </c>
      <c r="G21" s="36">
        <v>12.0</v>
      </c>
      <c r="H21" s="36">
        <v>0.666666666666666</v>
      </c>
      <c r="I21" s="37" t="b">
        <v>1</v>
      </c>
      <c r="J21" s="12" t="s">
        <v>332</v>
      </c>
      <c r="K21" s="13" t="s">
        <v>323</v>
      </c>
    </row>
    <row r="22">
      <c r="A22" s="34" t="s">
        <v>341</v>
      </c>
      <c r="B22" s="34" t="s">
        <v>264</v>
      </c>
      <c r="C22" s="34" t="s">
        <v>265</v>
      </c>
      <c r="D22" s="35">
        <v>4.0</v>
      </c>
      <c r="E22" s="36">
        <v>2.0</v>
      </c>
      <c r="F22" s="36">
        <v>8.0</v>
      </c>
      <c r="G22" s="36">
        <v>10.0</v>
      </c>
      <c r="H22" s="36">
        <v>0.6</v>
      </c>
      <c r="I22" s="37" t="b">
        <v>1</v>
      </c>
      <c r="J22" s="12" t="s">
        <v>342</v>
      </c>
      <c r="K22" s="13" t="s">
        <v>323</v>
      </c>
    </row>
    <row r="23">
      <c r="A23" s="34" t="s">
        <v>343</v>
      </c>
      <c r="B23" s="34" t="s">
        <v>227</v>
      </c>
      <c r="C23" s="34" t="s">
        <v>228</v>
      </c>
      <c r="D23" s="35">
        <v>4.0</v>
      </c>
      <c r="E23" s="36">
        <v>8.0</v>
      </c>
      <c r="F23" s="36">
        <v>2.0</v>
      </c>
      <c r="G23" s="36">
        <v>10.0</v>
      </c>
      <c r="H23" s="36">
        <v>0.6</v>
      </c>
      <c r="I23" s="37" t="b">
        <v>0</v>
      </c>
      <c r="J23" s="12" t="s">
        <v>342</v>
      </c>
      <c r="K23" s="13" t="s">
        <v>323</v>
      </c>
    </row>
    <row r="24">
      <c r="A24" s="34" t="s">
        <v>344</v>
      </c>
      <c r="B24" s="34" t="s">
        <v>104</v>
      </c>
      <c r="C24" s="34" t="s">
        <v>105</v>
      </c>
      <c r="D24" s="35">
        <v>4.0</v>
      </c>
      <c r="E24" s="36">
        <v>2.0</v>
      </c>
      <c r="F24" s="36">
        <v>8.0</v>
      </c>
      <c r="G24" s="36">
        <v>10.0</v>
      </c>
      <c r="H24" s="36">
        <v>0.6</v>
      </c>
      <c r="I24" s="37" t="b">
        <v>1</v>
      </c>
      <c r="J24" s="12" t="s">
        <v>342</v>
      </c>
      <c r="K24" s="13" t="s">
        <v>323</v>
      </c>
    </row>
    <row r="25">
      <c r="A25" s="34" t="s">
        <v>345</v>
      </c>
      <c r="B25" s="34" t="s">
        <v>155</v>
      </c>
      <c r="C25" s="34" t="s">
        <v>156</v>
      </c>
      <c r="D25" s="35">
        <v>4.0</v>
      </c>
      <c r="E25" s="36">
        <v>2.0</v>
      </c>
      <c r="F25" s="36">
        <v>8.0</v>
      </c>
      <c r="G25" s="36">
        <v>10.0</v>
      </c>
      <c r="H25" s="36">
        <v>0.6</v>
      </c>
      <c r="I25" s="37" t="b">
        <v>1</v>
      </c>
      <c r="J25" s="12" t="s">
        <v>342</v>
      </c>
      <c r="K25" s="13" t="s">
        <v>323</v>
      </c>
    </row>
    <row r="26">
      <c r="A26" s="34" t="s">
        <v>346</v>
      </c>
      <c r="B26" s="34" t="s">
        <v>173</v>
      </c>
      <c r="C26" s="34" t="s">
        <v>174</v>
      </c>
      <c r="D26" s="35">
        <v>4.0</v>
      </c>
      <c r="E26" s="36">
        <v>2.0</v>
      </c>
      <c r="F26" s="36">
        <v>8.0</v>
      </c>
      <c r="G26" s="36">
        <v>10.0</v>
      </c>
      <c r="H26" s="36">
        <v>0.6</v>
      </c>
      <c r="I26" s="37" t="b">
        <v>1</v>
      </c>
      <c r="J26" s="12" t="s">
        <v>342</v>
      </c>
      <c r="K26" s="13" t="s">
        <v>323</v>
      </c>
    </row>
    <row r="27">
      <c r="A27" s="34" t="s">
        <v>347</v>
      </c>
      <c r="B27" s="34" t="s">
        <v>193</v>
      </c>
      <c r="C27" s="34" t="s">
        <v>194</v>
      </c>
      <c r="D27" s="35">
        <v>4.0</v>
      </c>
      <c r="E27" s="36">
        <v>3.0</v>
      </c>
      <c r="F27" s="36">
        <v>11.0</v>
      </c>
      <c r="G27" s="36">
        <v>14.0</v>
      </c>
      <c r="H27" s="36">
        <v>0.571428571428571</v>
      </c>
      <c r="I27" s="37" t="b">
        <v>1</v>
      </c>
      <c r="J27" s="12" t="s">
        <v>342</v>
      </c>
      <c r="K27" s="13" t="s">
        <v>323</v>
      </c>
    </row>
    <row r="28">
      <c r="A28" s="34" t="s">
        <v>348</v>
      </c>
      <c r="B28" s="34" t="s">
        <v>153</v>
      </c>
      <c r="C28" s="34" t="s">
        <v>154</v>
      </c>
      <c r="D28" s="35">
        <v>4.0</v>
      </c>
      <c r="E28" s="36">
        <v>7.0</v>
      </c>
      <c r="F28" s="36">
        <v>2.0</v>
      </c>
      <c r="G28" s="36">
        <v>9.0</v>
      </c>
      <c r="H28" s="36">
        <v>0.555555555555555</v>
      </c>
      <c r="I28" s="37" t="b">
        <v>0</v>
      </c>
      <c r="J28" s="12" t="s">
        <v>342</v>
      </c>
      <c r="K28" s="13" t="s">
        <v>323</v>
      </c>
    </row>
    <row r="29">
      <c r="A29" s="34" t="s">
        <v>349</v>
      </c>
      <c r="B29" s="34" t="s">
        <v>215</v>
      </c>
      <c r="C29" s="34" t="s">
        <v>216</v>
      </c>
      <c r="D29" s="35">
        <v>4.0</v>
      </c>
      <c r="E29" s="36">
        <v>7.0</v>
      </c>
      <c r="F29" s="36">
        <v>2.0</v>
      </c>
      <c r="G29" s="36">
        <v>9.0</v>
      </c>
      <c r="H29" s="36">
        <v>0.555555555555555</v>
      </c>
      <c r="I29" s="37" t="b">
        <v>0</v>
      </c>
      <c r="J29" s="12" t="s">
        <v>342</v>
      </c>
      <c r="K29" s="13" t="s">
        <v>323</v>
      </c>
    </row>
    <row r="30">
      <c r="A30" s="34" t="s">
        <v>350</v>
      </c>
      <c r="B30" s="34" t="s">
        <v>247</v>
      </c>
      <c r="C30" s="34" t="s">
        <v>248</v>
      </c>
      <c r="D30" s="35">
        <v>4.0</v>
      </c>
      <c r="E30" s="36">
        <v>7.0</v>
      </c>
      <c r="F30" s="36">
        <v>2.0</v>
      </c>
      <c r="G30" s="36">
        <v>9.0</v>
      </c>
      <c r="H30" s="36">
        <v>0.555555555555555</v>
      </c>
      <c r="I30" s="37" t="b">
        <v>0</v>
      </c>
      <c r="J30" s="12" t="s">
        <v>342</v>
      </c>
      <c r="K30" s="13" t="s">
        <v>323</v>
      </c>
    </row>
    <row r="31">
      <c r="A31" s="34" t="s">
        <v>351</v>
      </c>
      <c r="B31" s="34" t="s">
        <v>209</v>
      </c>
      <c r="C31" s="34" t="s">
        <v>210</v>
      </c>
      <c r="D31" s="35">
        <v>4.0</v>
      </c>
      <c r="E31" s="36">
        <v>10.0</v>
      </c>
      <c r="F31" s="36">
        <v>3.0</v>
      </c>
      <c r="G31" s="36">
        <v>13.0</v>
      </c>
      <c r="H31" s="36">
        <v>0.538461538461538</v>
      </c>
      <c r="I31" s="37" t="b">
        <v>0</v>
      </c>
      <c r="J31" s="12" t="s">
        <v>342</v>
      </c>
      <c r="K31" s="13" t="s">
        <v>323</v>
      </c>
    </row>
    <row r="32">
      <c r="A32" s="34" t="s">
        <v>352</v>
      </c>
      <c r="B32" s="34" t="s">
        <v>126</v>
      </c>
      <c r="C32" s="34" t="s">
        <v>127</v>
      </c>
      <c r="D32" s="35">
        <v>4.0</v>
      </c>
      <c r="E32" s="36">
        <v>3.0</v>
      </c>
      <c r="F32" s="36">
        <v>7.0</v>
      </c>
      <c r="G32" s="36">
        <v>10.0</v>
      </c>
      <c r="H32" s="36">
        <v>0.4</v>
      </c>
      <c r="I32" s="37" t="b">
        <v>1</v>
      </c>
      <c r="J32" s="12" t="s">
        <v>353</v>
      </c>
      <c r="K32" s="13" t="s">
        <v>323</v>
      </c>
    </row>
    <row r="33">
      <c r="A33" s="34" t="s">
        <v>340</v>
      </c>
      <c r="B33" s="34" t="s">
        <v>266</v>
      </c>
      <c r="C33" s="34" t="s">
        <v>267</v>
      </c>
      <c r="D33" s="35">
        <v>4.0</v>
      </c>
      <c r="E33" s="36">
        <v>7.0</v>
      </c>
      <c r="F33" s="36">
        <v>3.0</v>
      </c>
      <c r="G33" s="36">
        <v>10.0</v>
      </c>
      <c r="H33" s="36">
        <v>0.4</v>
      </c>
      <c r="I33" s="37" t="b">
        <v>0</v>
      </c>
      <c r="J33" s="12" t="s">
        <v>353</v>
      </c>
      <c r="K33" s="13" t="s">
        <v>323</v>
      </c>
    </row>
    <row r="34">
      <c r="A34" s="34" t="s">
        <v>354</v>
      </c>
      <c r="B34" s="34" t="s">
        <v>206</v>
      </c>
      <c r="C34" s="34" t="s">
        <v>207</v>
      </c>
      <c r="D34" s="35">
        <v>4.0</v>
      </c>
      <c r="E34" s="36">
        <v>3.0</v>
      </c>
      <c r="F34" s="36">
        <v>7.0</v>
      </c>
      <c r="G34" s="36">
        <v>10.0</v>
      </c>
      <c r="H34" s="36">
        <v>0.4</v>
      </c>
      <c r="I34" s="37" t="b">
        <v>1</v>
      </c>
      <c r="J34" s="12" t="s">
        <v>353</v>
      </c>
      <c r="K34" s="13" t="s">
        <v>323</v>
      </c>
    </row>
    <row r="35">
      <c r="A35" s="34" t="s">
        <v>326</v>
      </c>
      <c r="B35" s="34" t="s">
        <v>83</v>
      </c>
      <c r="C35" s="34" t="s">
        <v>84</v>
      </c>
      <c r="D35" s="35">
        <v>4.0</v>
      </c>
      <c r="E35" s="36">
        <v>3.0</v>
      </c>
      <c r="F35" s="36">
        <v>7.0</v>
      </c>
      <c r="G35" s="36">
        <v>10.0</v>
      </c>
      <c r="H35" s="36">
        <v>0.4</v>
      </c>
      <c r="I35" s="37" t="b">
        <v>1</v>
      </c>
      <c r="J35" s="12" t="s">
        <v>353</v>
      </c>
      <c r="K35" s="13" t="s">
        <v>323</v>
      </c>
    </row>
    <row r="36">
      <c r="A36" s="34" t="s">
        <v>355</v>
      </c>
      <c r="B36" s="34" t="s">
        <v>245</v>
      </c>
      <c r="C36" s="34" t="s">
        <v>246</v>
      </c>
      <c r="D36" s="35">
        <v>4.0</v>
      </c>
      <c r="E36" s="36">
        <v>3.0</v>
      </c>
      <c r="F36" s="36">
        <v>7.0</v>
      </c>
      <c r="G36" s="36">
        <v>10.0</v>
      </c>
      <c r="H36" s="36">
        <v>0.4</v>
      </c>
      <c r="I36" s="37" t="b">
        <v>1</v>
      </c>
      <c r="J36" s="12" t="s">
        <v>353</v>
      </c>
      <c r="K36" s="13" t="s">
        <v>323</v>
      </c>
    </row>
    <row r="37">
      <c r="A37" s="34" t="s">
        <v>356</v>
      </c>
      <c r="B37" s="34" t="s">
        <v>147</v>
      </c>
      <c r="C37" s="34" t="s">
        <v>148</v>
      </c>
      <c r="D37" s="35">
        <v>4.0</v>
      </c>
      <c r="E37" s="36">
        <v>7.0</v>
      </c>
      <c r="F37" s="36">
        <v>3.0</v>
      </c>
      <c r="G37" s="36">
        <v>10.0</v>
      </c>
      <c r="H37" s="36">
        <v>0.4</v>
      </c>
      <c r="I37" s="37" t="b">
        <v>0</v>
      </c>
      <c r="J37" s="12" t="s">
        <v>353</v>
      </c>
      <c r="K37" s="13" t="s">
        <v>323</v>
      </c>
    </row>
    <row r="38">
      <c r="A38" s="34" t="s">
        <v>357</v>
      </c>
      <c r="B38" s="34" t="s">
        <v>278</v>
      </c>
      <c r="C38" s="34" t="s">
        <v>279</v>
      </c>
      <c r="D38" s="35">
        <v>4.0</v>
      </c>
      <c r="E38" s="36">
        <v>6.0</v>
      </c>
      <c r="F38" s="36">
        <v>3.0</v>
      </c>
      <c r="G38" s="36">
        <v>9.0</v>
      </c>
      <c r="H38" s="36">
        <v>0.333333333333333</v>
      </c>
      <c r="I38" s="37" t="b">
        <v>0</v>
      </c>
      <c r="J38" s="12" t="s">
        <v>353</v>
      </c>
      <c r="K38" s="13" t="s">
        <v>323</v>
      </c>
    </row>
    <row r="39">
      <c r="A39" s="34" t="s">
        <v>358</v>
      </c>
      <c r="B39" s="34" t="s">
        <v>191</v>
      </c>
      <c r="C39" s="34" t="s">
        <v>192</v>
      </c>
      <c r="D39" s="35">
        <v>4.0</v>
      </c>
      <c r="E39" s="36">
        <v>6.0</v>
      </c>
      <c r="F39" s="36">
        <v>3.0</v>
      </c>
      <c r="G39" s="36">
        <v>9.0</v>
      </c>
      <c r="H39" s="36">
        <v>0.333333333333333</v>
      </c>
      <c r="I39" s="37" t="b">
        <v>0</v>
      </c>
      <c r="J39" s="12" t="s">
        <v>353</v>
      </c>
      <c r="K39" s="13" t="s">
        <v>323</v>
      </c>
    </row>
    <row r="40">
      <c r="A40" s="34" t="s">
        <v>348</v>
      </c>
      <c r="B40" s="34" t="s">
        <v>111</v>
      </c>
      <c r="C40" s="34" t="s">
        <v>112</v>
      </c>
      <c r="D40" s="35">
        <v>4.0</v>
      </c>
      <c r="E40" s="36">
        <v>4.0</v>
      </c>
      <c r="F40" s="36">
        <v>7.0</v>
      </c>
      <c r="G40" s="36">
        <v>11.0</v>
      </c>
      <c r="H40" s="36">
        <v>0.272727272727272</v>
      </c>
      <c r="I40" s="37" t="b">
        <v>1</v>
      </c>
      <c r="J40" s="12" t="s">
        <v>353</v>
      </c>
      <c r="K40" s="13" t="s">
        <v>323</v>
      </c>
    </row>
    <row r="41">
      <c r="A41" s="34" t="s">
        <v>321</v>
      </c>
      <c r="B41" s="34" t="s">
        <v>217</v>
      </c>
      <c r="C41" s="34" t="s">
        <v>218</v>
      </c>
      <c r="D41" s="35">
        <v>4.0</v>
      </c>
      <c r="E41" s="36">
        <v>7.0</v>
      </c>
      <c r="F41" s="36">
        <v>4.0</v>
      </c>
      <c r="G41" s="36">
        <v>11.0</v>
      </c>
      <c r="H41" s="36">
        <v>0.272727272727272</v>
      </c>
      <c r="I41" s="37" t="b">
        <v>0</v>
      </c>
      <c r="J41" s="12" t="s">
        <v>353</v>
      </c>
      <c r="K41" s="13" t="s">
        <v>323</v>
      </c>
    </row>
    <row r="42">
      <c r="A42" s="34" t="s">
        <v>359</v>
      </c>
      <c r="B42" s="34" t="s">
        <v>189</v>
      </c>
      <c r="C42" s="34" t="s">
        <v>190</v>
      </c>
      <c r="D42" s="35">
        <v>4.0</v>
      </c>
      <c r="E42" s="36">
        <v>4.0</v>
      </c>
      <c r="F42" s="36">
        <v>6.0</v>
      </c>
      <c r="G42" s="36">
        <v>10.0</v>
      </c>
      <c r="H42" s="36">
        <v>0.2</v>
      </c>
      <c r="I42" s="37" t="b">
        <v>1</v>
      </c>
      <c r="J42" s="12" t="s">
        <v>360</v>
      </c>
      <c r="K42" s="13" t="s">
        <v>323</v>
      </c>
    </row>
    <row r="43">
      <c r="A43" s="34" t="s">
        <v>361</v>
      </c>
      <c r="B43" s="34" t="s">
        <v>274</v>
      </c>
      <c r="C43" s="34" t="s">
        <v>275</v>
      </c>
      <c r="D43" s="35">
        <v>4.0</v>
      </c>
      <c r="E43" s="36">
        <v>6.0</v>
      </c>
      <c r="F43" s="36">
        <v>4.0</v>
      </c>
      <c r="G43" s="36">
        <v>10.0</v>
      </c>
      <c r="H43" s="36">
        <v>0.2</v>
      </c>
      <c r="I43" s="37" t="b">
        <v>0</v>
      </c>
      <c r="J43" s="12" t="s">
        <v>360</v>
      </c>
      <c r="K43" s="13" t="s">
        <v>323</v>
      </c>
    </row>
    <row r="44">
      <c r="A44" s="34" t="s">
        <v>338</v>
      </c>
      <c r="B44" s="34" t="s">
        <v>169</v>
      </c>
      <c r="C44" s="34" t="s">
        <v>170</v>
      </c>
      <c r="D44" s="35">
        <v>4.0</v>
      </c>
      <c r="E44" s="36">
        <v>4.0</v>
      </c>
      <c r="F44" s="36">
        <v>6.0</v>
      </c>
      <c r="G44" s="36">
        <v>10.0</v>
      </c>
      <c r="H44" s="36">
        <v>0.2</v>
      </c>
      <c r="I44" s="37" t="b">
        <v>1</v>
      </c>
      <c r="J44" s="12" t="s">
        <v>360</v>
      </c>
      <c r="K44" s="13" t="s">
        <v>323</v>
      </c>
    </row>
    <row r="45">
      <c r="A45" s="34" t="s">
        <v>362</v>
      </c>
      <c r="B45" s="34" t="s">
        <v>253</v>
      </c>
      <c r="C45" s="34" t="s">
        <v>254</v>
      </c>
      <c r="D45" s="35">
        <v>4.0</v>
      </c>
      <c r="E45" s="36">
        <v>5.0</v>
      </c>
      <c r="F45" s="36">
        <v>7.0</v>
      </c>
      <c r="G45" s="36">
        <v>12.0</v>
      </c>
      <c r="H45" s="36">
        <v>0.166666666666666</v>
      </c>
      <c r="I45" s="37" t="b">
        <v>1</v>
      </c>
      <c r="J45" s="12" t="s">
        <v>360</v>
      </c>
      <c r="K45" s="13" t="s">
        <v>323</v>
      </c>
    </row>
    <row r="46">
      <c r="A46" s="34" t="s">
        <v>363</v>
      </c>
      <c r="B46" s="34" t="s">
        <v>128</v>
      </c>
      <c r="C46" s="34" t="s">
        <v>129</v>
      </c>
      <c r="D46" s="35">
        <v>4.0</v>
      </c>
      <c r="E46" s="36">
        <v>6.0</v>
      </c>
      <c r="F46" s="36">
        <v>8.0</v>
      </c>
      <c r="G46" s="36">
        <v>14.0</v>
      </c>
      <c r="H46" s="36">
        <v>0.142857142857142</v>
      </c>
      <c r="I46" s="37" t="b">
        <v>1</v>
      </c>
      <c r="J46" s="12" t="s">
        <v>360</v>
      </c>
      <c r="K46" s="13" t="s">
        <v>323</v>
      </c>
    </row>
    <row r="47">
      <c r="A47" s="34" t="s">
        <v>364</v>
      </c>
      <c r="B47" s="34" t="s">
        <v>95</v>
      </c>
      <c r="C47" s="34" t="s">
        <v>96</v>
      </c>
      <c r="D47" s="35">
        <v>4.0</v>
      </c>
      <c r="E47" s="36">
        <v>5.0</v>
      </c>
      <c r="F47" s="36">
        <v>4.0</v>
      </c>
      <c r="G47" s="36">
        <v>9.0</v>
      </c>
      <c r="H47" s="36">
        <v>0.111111111111111</v>
      </c>
      <c r="I47" s="37" t="b">
        <v>0</v>
      </c>
      <c r="J47" s="12" t="s">
        <v>360</v>
      </c>
      <c r="K47" s="13" t="s">
        <v>323</v>
      </c>
    </row>
    <row r="48">
      <c r="A48" s="34" t="s">
        <v>365</v>
      </c>
      <c r="B48" s="34" t="s">
        <v>85</v>
      </c>
      <c r="C48" s="34" t="s">
        <v>86</v>
      </c>
      <c r="D48" s="35">
        <v>4.0</v>
      </c>
      <c r="E48" s="36">
        <v>5.0</v>
      </c>
      <c r="F48" s="36">
        <v>4.0</v>
      </c>
      <c r="G48" s="36">
        <v>9.0</v>
      </c>
      <c r="H48" s="36">
        <v>0.111111111111111</v>
      </c>
      <c r="I48" s="37" t="b">
        <v>0</v>
      </c>
      <c r="J48" s="12" t="s">
        <v>360</v>
      </c>
      <c r="K48" s="13" t="s">
        <v>323</v>
      </c>
    </row>
    <row r="49">
      <c r="A49" s="34" t="s">
        <v>366</v>
      </c>
      <c r="B49" s="34" t="s">
        <v>260</v>
      </c>
      <c r="C49" s="34" t="s">
        <v>261</v>
      </c>
      <c r="D49" s="35">
        <v>4.0</v>
      </c>
      <c r="E49" s="36">
        <v>5.0</v>
      </c>
      <c r="F49" s="36">
        <v>4.0</v>
      </c>
      <c r="G49" s="36">
        <v>9.0</v>
      </c>
      <c r="H49" s="36">
        <v>0.111111111111111</v>
      </c>
      <c r="I49" s="37" t="b">
        <v>0</v>
      </c>
      <c r="J49" s="12" t="s">
        <v>360</v>
      </c>
      <c r="K49" s="13" t="s">
        <v>323</v>
      </c>
    </row>
    <row r="50">
      <c r="A50" s="34" t="s">
        <v>367</v>
      </c>
      <c r="B50" s="34" t="s">
        <v>251</v>
      </c>
      <c r="C50" s="34" t="s">
        <v>252</v>
      </c>
      <c r="D50" s="35">
        <v>4.0</v>
      </c>
      <c r="E50" s="36">
        <v>5.0</v>
      </c>
      <c r="F50" s="36">
        <v>6.0</v>
      </c>
      <c r="G50" s="36">
        <v>11.0</v>
      </c>
      <c r="H50" s="36">
        <v>0.0909090909090909</v>
      </c>
      <c r="I50" s="37" t="b">
        <v>1</v>
      </c>
      <c r="J50" s="12" t="s">
        <v>360</v>
      </c>
      <c r="K50" s="13" t="s">
        <v>323</v>
      </c>
    </row>
    <row r="51">
      <c r="A51" s="34" t="s">
        <v>368</v>
      </c>
      <c r="B51" s="34" t="s">
        <v>180</v>
      </c>
      <c r="C51" s="34" t="s">
        <v>181</v>
      </c>
      <c r="D51" s="35">
        <v>4.0</v>
      </c>
      <c r="E51" s="36">
        <v>6.0</v>
      </c>
      <c r="F51" s="36">
        <v>5.0</v>
      </c>
      <c r="G51" s="36">
        <v>11.0</v>
      </c>
      <c r="H51" s="36">
        <v>0.0909090909090909</v>
      </c>
      <c r="I51" s="37" t="b">
        <v>0</v>
      </c>
      <c r="J51" s="12" t="s">
        <v>360</v>
      </c>
      <c r="K51" s="13" t="s">
        <v>323</v>
      </c>
    </row>
    <row r="52">
      <c r="A52" s="34" t="s">
        <v>369</v>
      </c>
      <c r="B52" s="34" t="s">
        <v>165</v>
      </c>
      <c r="C52" s="34" t="s">
        <v>166</v>
      </c>
      <c r="D52" s="35">
        <v>4.0</v>
      </c>
      <c r="E52" s="36">
        <v>0.0</v>
      </c>
      <c r="F52" s="36">
        <v>9.0</v>
      </c>
      <c r="G52" s="36">
        <v>9.0</v>
      </c>
      <c r="H52" s="36">
        <v>1.0</v>
      </c>
      <c r="I52" s="37" t="b">
        <v>1</v>
      </c>
      <c r="J52" s="12" t="s">
        <v>322</v>
      </c>
      <c r="K52" s="12" t="s">
        <v>370</v>
      </c>
    </row>
    <row r="53">
      <c r="A53" s="34" t="s">
        <v>371</v>
      </c>
      <c r="B53" s="34" t="s">
        <v>249</v>
      </c>
      <c r="C53" s="34" t="s">
        <v>250</v>
      </c>
      <c r="D53" s="35">
        <v>4.0</v>
      </c>
      <c r="E53" s="36">
        <v>8.0</v>
      </c>
      <c r="F53" s="36">
        <v>1.0</v>
      </c>
      <c r="G53" s="36">
        <v>9.0</v>
      </c>
      <c r="H53" s="36">
        <v>0.777777777777777</v>
      </c>
      <c r="I53" s="37" t="b">
        <v>0</v>
      </c>
      <c r="J53" s="12" t="s">
        <v>332</v>
      </c>
      <c r="K53" s="12" t="s">
        <v>372</v>
      </c>
    </row>
    <row r="54">
      <c r="A54" s="34" t="s">
        <v>373</v>
      </c>
      <c r="B54" s="34" t="s">
        <v>89</v>
      </c>
      <c r="C54" s="34" t="s">
        <v>90</v>
      </c>
      <c r="D54" s="35">
        <v>4.0</v>
      </c>
      <c r="E54" s="36">
        <v>2.0</v>
      </c>
      <c r="F54" s="36">
        <v>7.0</v>
      </c>
      <c r="G54" s="36">
        <v>9.0</v>
      </c>
      <c r="H54" s="36">
        <v>0.555555555555555</v>
      </c>
      <c r="I54" s="37" t="b">
        <v>1</v>
      </c>
      <c r="J54" s="12" t="s">
        <v>342</v>
      </c>
      <c r="K54" s="12" t="s">
        <v>372</v>
      </c>
    </row>
    <row r="55">
      <c r="A55" s="34" t="s">
        <v>374</v>
      </c>
      <c r="B55" s="34" t="s">
        <v>233</v>
      </c>
      <c r="C55" s="34" t="s">
        <v>234</v>
      </c>
      <c r="D55" s="35">
        <v>4.0</v>
      </c>
      <c r="E55" s="36">
        <v>4.0</v>
      </c>
      <c r="F55" s="36">
        <v>2.0</v>
      </c>
      <c r="G55" s="36">
        <v>6.0</v>
      </c>
      <c r="H55" s="36">
        <v>0.333333333333333</v>
      </c>
      <c r="I55" s="37" t="b">
        <v>0</v>
      </c>
      <c r="J55" s="12" t="s">
        <v>353</v>
      </c>
      <c r="K55" s="12" t="s">
        <v>372</v>
      </c>
    </row>
    <row r="56">
      <c r="A56" s="34" t="s">
        <v>375</v>
      </c>
      <c r="B56" s="34" t="s">
        <v>262</v>
      </c>
      <c r="C56" s="34" t="s">
        <v>263</v>
      </c>
      <c r="D56" s="35">
        <v>4.0</v>
      </c>
      <c r="E56" s="36">
        <v>2.0</v>
      </c>
      <c r="F56" s="36">
        <v>2.0</v>
      </c>
      <c r="G56" s="36">
        <v>4.0</v>
      </c>
      <c r="H56" s="36">
        <v>0.0</v>
      </c>
      <c r="I56" s="37" t="s">
        <v>376</v>
      </c>
      <c r="J56" s="12" t="s">
        <v>360</v>
      </c>
      <c r="K56" s="12" t="s">
        <v>372</v>
      </c>
    </row>
    <row r="57">
      <c r="A57" s="34" t="s">
        <v>377</v>
      </c>
      <c r="B57" s="34" t="s">
        <v>145</v>
      </c>
      <c r="C57" s="34" t="s">
        <v>146</v>
      </c>
      <c r="D57" s="35">
        <v>4.0</v>
      </c>
      <c r="E57" s="36">
        <v>0.0</v>
      </c>
      <c r="F57" s="36">
        <v>9.0</v>
      </c>
      <c r="G57" s="36">
        <v>9.0</v>
      </c>
      <c r="H57" s="36">
        <v>1.0</v>
      </c>
      <c r="I57" s="37" t="b">
        <v>1</v>
      </c>
      <c r="J57" s="12" t="s">
        <v>322</v>
      </c>
      <c r="K57" s="12" t="s">
        <v>378</v>
      </c>
    </row>
    <row r="58">
      <c r="A58" s="34" t="s">
        <v>379</v>
      </c>
      <c r="B58" s="34" t="s">
        <v>99</v>
      </c>
      <c r="C58" s="34" t="s">
        <v>100</v>
      </c>
      <c r="D58" s="35">
        <v>4.0</v>
      </c>
      <c r="E58" s="36">
        <v>2.0</v>
      </c>
      <c r="F58" s="36">
        <v>7.0</v>
      </c>
      <c r="G58" s="36">
        <v>9.0</v>
      </c>
      <c r="H58" s="36">
        <v>0.555555555555555</v>
      </c>
      <c r="I58" s="37" t="b">
        <v>1</v>
      </c>
      <c r="J58" s="12" t="s">
        <v>342</v>
      </c>
      <c r="K58" s="12" t="s">
        <v>378</v>
      </c>
    </row>
    <row r="59">
      <c r="A59" s="34" t="s">
        <v>380</v>
      </c>
      <c r="B59" s="34" t="s">
        <v>69</v>
      </c>
      <c r="C59" s="34" t="s">
        <v>70</v>
      </c>
      <c r="D59" s="35">
        <v>4.0</v>
      </c>
      <c r="E59" s="36">
        <v>2.0</v>
      </c>
      <c r="F59" s="36">
        <v>1.0</v>
      </c>
      <c r="G59" s="36">
        <v>3.0</v>
      </c>
      <c r="H59" s="36">
        <v>0.333333333333333</v>
      </c>
      <c r="I59" s="37" t="b">
        <v>0</v>
      </c>
      <c r="J59" s="12" t="s">
        <v>353</v>
      </c>
      <c r="K59" s="12" t="s">
        <v>378</v>
      </c>
    </row>
    <row r="60">
      <c r="A60" s="34" t="s">
        <v>381</v>
      </c>
      <c r="B60" s="34" t="s">
        <v>195</v>
      </c>
      <c r="C60" s="34" t="s">
        <v>196</v>
      </c>
      <c r="D60" s="35">
        <v>4.0</v>
      </c>
      <c r="E60" s="36">
        <v>6.0</v>
      </c>
      <c r="F60" s="36">
        <v>3.0</v>
      </c>
      <c r="G60" s="36">
        <v>9.0</v>
      </c>
      <c r="H60" s="36">
        <v>0.333333333333333</v>
      </c>
      <c r="I60" s="37" t="b">
        <v>0</v>
      </c>
      <c r="J60" s="12" t="s">
        <v>353</v>
      </c>
      <c r="K60" s="12" t="s">
        <v>378</v>
      </c>
    </row>
    <row r="61">
      <c r="A61" s="34" t="s">
        <v>382</v>
      </c>
      <c r="B61" s="34" t="s">
        <v>101</v>
      </c>
      <c r="C61" s="34" t="s">
        <v>102</v>
      </c>
      <c r="D61" s="35">
        <v>4.0</v>
      </c>
      <c r="E61" s="36">
        <v>2.0</v>
      </c>
      <c r="F61" s="36">
        <v>2.0</v>
      </c>
      <c r="G61" s="36">
        <v>4.0</v>
      </c>
      <c r="H61" s="36">
        <v>0.0</v>
      </c>
      <c r="I61" s="37" t="s">
        <v>376</v>
      </c>
      <c r="J61" s="12" t="s">
        <v>360</v>
      </c>
      <c r="K61" s="12" t="s">
        <v>378</v>
      </c>
    </row>
    <row r="62">
      <c r="A62" s="34" t="s">
        <v>383</v>
      </c>
      <c r="B62" s="34" t="s">
        <v>91</v>
      </c>
      <c r="C62" s="34" t="s">
        <v>92</v>
      </c>
      <c r="D62" s="35">
        <v>4.0</v>
      </c>
      <c r="E62" s="36">
        <v>0.0</v>
      </c>
      <c r="F62" s="36">
        <v>9.0</v>
      </c>
      <c r="G62" s="36">
        <v>9.0</v>
      </c>
      <c r="H62" s="36">
        <v>1.0</v>
      </c>
      <c r="I62" s="37" t="b">
        <v>1</v>
      </c>
      <c r="J62" s="12" t="s">
        <v>322</v>
      </c>
      <c r="K62" s="12" t="s">
        <v>384</v>
      </c>
    </row>
    <row r="63">
      <c r="A63" s="34" t="s">
        <v>338</v>
      </c>
      <c r="B63" s="34" t="s">
        <v>223</v>
      </c>
      <c r="C63" s="34" t="s">
        <v>224</v>
      </c>
      <c r="D63" s="35">
        <v>4.0</v>
      </c>
      <c r="E63" s="36">
        <v>8.0</v>
      </c>
      <c r="F63" s="36">
        <v>1.0</v>
      </c>
      <c r="G63" s="36">
        <v>9.0</v>
      </c>
      <c r="H63" s="36">
        <v>0.777777777777777</v>
      </c>
      <c r="I63" s="37" t="b">
        <v>0</v>
      </c>
      <c r="J63" s="12" t="s">
        <v>332</v>
      </c>
      <c r="K63" s="12" t="s">
        <v>384</v>
      </c>
    </row>
    <row r="64">
      <c r="A64" s="34" t="s">
        <v>385</v>
      </c>
      <c r="B64" s="34" t="s">
        <v>107</v>
      </c>
      <c r="C64" s="34" t="s">
        <v>108</v>
      </c>
      <c r="D64" s="35">
        <v>4.0</v>
      </c>
      <c r="E64" s="36">
        <v>3.0</v>
      </c>
      <c r="F64" s="36">
        <v>1.0</v>
      </c>
      <c r="G64" s="36">
        <v>4.0</v>
      </c>
      <c r="H64" s="36">
        <v>0.5</v>
      </c>
      <c r="I64" s="37" t="b">
        <v>0</v>
      </c>
      <c r="J64" s="12" t="s">
        <v>342</v>
      </c>
      <c r="K64" s="12" t="s">
        <v>384</v>
      </c>
    </row>
    <row r="65">
      <c r="A65" s="34" t="s">
        <v>386</v>
      </c>
      <c r="B65" s="34" t="s">
        <v>229</v>
      </c>
      <c r="C65" s="34" t="s">
        <v>230</v>
      </c>
      <c r="D65" s="35">
        <v>4.0</v>
      </c>
      <c r="E65" s="36">
        <v>3.0</v>
      </c>
      <c r="F65" s="36">
        <v>6.0</v>
      </c>
      <c r="G65" s="36">
        <v>9.0</v>
      </c>
      <c r="H65" s="36">
        <v>0.333333333333333</v>
      </c>
      <c r="I65" s="37" t="b">
        <v>1</v>
      </c>
      <c r="J65" s="12" t="s">
        <v>353</v>
      </c>
      <c r="K65" s="12" t="s">
        <v>384</v>
      </c>
    </row>
    <row r="66">
      <c r="A66" s="34" t="s">
        <v>387</v>
      </c>
      <c r="B66" s="34" t="s">
        <v>235</v>
      </c>
      <c r="C66" s="34" t="s">
        <v>236</v>
      </c>
      <c r="D66" s="35">
        <v>4.0</v>
      </c>
      <c r="E66" s="36">
        <v>3.0</v>
      </c>
      <c r="F66" s="36">
        <v>3.0</v>
      </c>
      <c r="G66" s="36">
        <v>6.0</v>
      </c>
      <c r="H66" s="36">
        <v>0.0</v>
      </c>
      <c r="I66" s="37" t="s">
        <v>376</v>
      </c>
      <c r="J66" s="12" t="s">
        <v>360</v>
      </c>
      <c r="K66" s="12" t="s">
        <v>384</v>
      </c>
    </row>
    <row r="67">
      <c r="A67" s="34" t="s">
        <v>388</v>
      </c>
      <c r="B67" s="34" t="s">
        <v>225</v>
      </c>
      <c r="C67" s="34" t="s">
        <v>226</v>
      </c>
      <c r="D67" s="35">
        <v>4.0</v>
      </c>
      <c r="E67" s="36">
        <v>3.0</v>
      </c>
      <c r="F67" s="36">
        <v>0.0</v>
      </c>
      <c r="G67" s="36">
        <v>3.0</v>
      </c>
      <c r="H67" s="36">
        <v>1.0</v>
      </c>
      <c r="I67" s="37" t="b">
        <v>0</v>
      </c>
      <c r="J67" s="12" t="s">
        <v>322</v>
      </c>
      <c r="K67" s="12" t="s">
        <v>179</v>
      </c>
    </row>
    <row r="68">
      <c r="A68" s="34" t="s">
        <v>389</v>
      </c>
      <c r="B68" s="34" t="s">
        <v>123</v>
      </c>
      <c r="C68" s="34" t="s">
        <v>124</v>
      </c>
      <c r="D68" s="35">
        <v>4.0</v>
      </c>
      <c r="E68" s="36">
        <v>1.0</v>
      </c>
      <c r="F68" s="36">
        <v>5.0</v>
      </c>
      <c r="G68" s="36">
        <v>6.0</v>
      </c>
      <c r="H68" s="36">
        <v>0.666666666666666</v>
      </c>
      <c r="I68" s="37" t="b">
        <v>1</v>
      </c>
      <c r="J68" s="12" t="s">
        <v>332</v>
      </c>
      <c r="K68" s="12" t="s">
        <v>179</v>
      </c>
    </row>
    <row r="69">
      <c r="A69" s="34" t="s">
        <v>390</v>
      </c>
      <c r="B69" s="34" t="s">
        <v>197</v>
      </c>
      <c r="C69" s="34" t="s">
        <v>198</v>
      </c>
      <c r="D69" s="35">
        <v>4.0</v>
      </c>
      <c r="E69" s="36">
        <v>3.0</v>
      </c>
      <c r="F69" s="36">
        <v>6.0</v>
      </c>
      <c r="G69" s="36">
        <v>9.0</v>
      </c>
      <c r="H69" s="36">
        <v>0.333333333333333</v>
      </c>
      <c r="I69" s="37" t="b">
        <v>1</v>
      </c>
      <c r="J69" s="12" t="s">
        <v>353</v>
      </c>
      <c r="K69" s="12" t="s">
        <v>179</v>
      </c>
    </row>
    <row r="70">
      <c r="A70" s="34" t="s">
        <v>391</v>
      </c>
      <c r="B70" s="34" t="s">
        <v>73</v>
      </c>
      <c r="C70" s="34" t="s">
        <v>74</v>
      </c>
      <c r="D70" s="35">
        <v>4.0</v>
      </c>
      <c r="E70" s="36">
        <v>6.0</v>
      </c>
      <c r="F70" s="36">
        <v>3.0</v>
      </c>
      <c r="G70" s="36">
        <v>9.0</v>
      </c>
      <c r="H70" s="36">
        <v>0.333333333333333</v>
      </c>
      <c r="I70" s="37" t="b">
        <v>0</v>
      </c>
      <c r="J70" s="12" t="s">
        <v>353</v>
      </c>
      <c r="K70" s="12" t="s">
        <v>179</v>
      </c>
    </row>
    <row r="71">
      <c r="A71" s="34" t="s">
        <v>392</v>
      </c>
      <c r="B71" s="34" t="s">
        <v>185</v>
      </c>
      <c r="C71" s="34" t="s">
        <v>186</v>
      </c>
      <c r="D71" s="35">
        <v>4.0</v>
      </c>
      <c r="E71" s="36">
        <v>2.0</v>
      </c>
      <c r="F71" s="36">
        <v>2.0</v>
      </c>
      <c r="G71" s="36">
        <v>4.0</v>
      </c>
      <c r="H71" s="36">
        <v>0.0</v>
      </c>
      <c r="I71" s="37" t="s">
        <v>376</v>
      </c>
      <c r="J71" s="12" t="s">
        <v>360</v>
      </c>
      <c r="K71" s="12" t="s">
        <v>179</v>
      </c>
    </row>
    <row r="72">
      <c r="A72" s="34" t="s">
        <v>393</v>
      </c>
      <c r="B72" s="34" t="s">
        <v>141</v>
      </c>
      <c r="C72" s="34" t="s">
        <v>142</v>
      </c>
      <c r="D72" s="35">
        <v>4.0</v>
      </c>
      <c r="E72" s="36">
        <v>8.0</v>
      </c>
      <c r="F72" s="36">
        <v>1.0</v>
      </c>
      <c r="G72" s="36">
        <v>9.0</v>
      </c>
      <c r="H72" s="36">
        <v>0.777777777777777</v>
      </c>
      <c r="I72" s="37" t="b">
        <v>0</v>
      </c>
      <c r="J72" s="12" t="s">
        <v>332</v>
      </c>
      <c r="K72" s="12" t="s">
        <v>103</v>
      </c>
    </row>
    <row r="73">
      <c r="A73" s="34" t="s">
        <v>394</v>
      </c>
      <c r="B73" s="34" t="s">
        <v>159</v>
      </c>
      <c r="C73" s="34" t="s">
        <v>160</v>
      </c>
      <c r="D73" s="35">
        <v>4.0</v>
      </c>
      <c r="E73" s="36">
        <v>1.0</v>
      </c>
      <c r="F73" s="36">
        <v>5.0</v>
      </c>
      <c r="G73" s="36">
        <v>6.0</v>
      </c>
      <c r="H73" s="36">
        <v>0.666666666666666</v>
      </c>
      <c r="I73" s="37" t="b">
        <v>1</v>
      </c>
      <c r="J73" s="12" t="s">
        <v>332</v>
      </c>
      <c r="K73" s="12" t="s">
        <v>103</v>
      </c>
    </row>
    <row r="74">
      <c r="A74" s="34" t="s">
        <v>395</v>
      </c>
      <c r="B74" s="34" t="s">
        <v>237</v>
      </c>
      <c r="C74" s="34" t="s">
        <v>238</v>
      </c>
      <c r="D74" s="35">
        <v>4.0</v>
      </c>
      <c r="E74" s="36">
        <v>1.0</v>
      </c>
      <c r="F74" s="36">
        <v>4.0</v>
      </c>
      <c r="G74" s="36">
        <v>5.0</v>
      </c>
      <c r="H74" s="36">
        <v>0.6</v>
      </c>
      <c r="I74" s="37" t="b">
        <v>1</v>
      </c>
      <c r="J74" s="12" t="s">
        <v>342</v>
      </c>
      <c r="K74" s="12" t="s">
        <v>103</v>
      </c>
    </row>
    <row r="75">
      <c r="A75" s="34" t="s">
        <v>364</v>
      </c>
      <c r="B75" s="34" t="s">
        <v>97</v>
      </c>
      <c r="C75" s="34" t="s">
        <v>98</v>
      </c>
      <c r="D75" s="35">
        <v>4.0</v>
      </c>
      <c r="E75" s="36">
        <v>7.0</v>
      </c>
      <c r="F75" s="36">
        <v>2.0</v>
      </c>
      <c r="G75" s="36">
        <v>9.0</v>
      </c>
      <c r="H75" s="36">
        <v>0.555555555555555</v>
      </c>
      <c r="I75" s="37" t="b">
        <v>0</v>
      </c>
      <c r="J75" s="12" t="s">
        <v>342</v>
      </c>
      <c r="K75" s="12" t="s">
        <v>103</v>
      </c>
    </row>
    <row r="76">
      <c r="A76" s="34" t="s">
        <v>396</v>
      </c>
      <c r="B76" s="34" t="s">
        <v>157</v>
      </c>
      <c r="C76" s="34" t="s">
        <v>158</v>
      </c>
      <c r="D76" s="35">
        <v>4.0</v>
      </c>
      <c r="E76" s="36">
        <v>2.0</v>
      </c>
      <c r="F76" s="36">
        <v>2.0</v>
      </c>
      <c r="G76" s="36">
        <v>4.0</v>
      </c>
      <c r="H76" s="36">
        <v>0.0</v>
      </c>
      <c r="I76" s="37" t="s">
        <v>376</v>
      </c>
      <c r="J76" s="12" t="s">
        <v>360</v>
      </c>
      <c r="K76" s="12" t="s">
        <v>103</v>
      </c>
    </row>
    <row r="77">
      <c r="A77" s="34" t="s">
        <v>369</v>
      </c>
      <c r="B77" s="34" t="s">
        <v>121</v>
      </c>
      <c r="C77" s="34" t="s">
        <v>122</v>
      </c>
      <c r="D77" s="35">
        <v>4.0</v>
      </c>
      <c r="E77" s="36">
        <v>0.0</v>
      </c>
      <c r="F77" s="36">
        <v>3.0</v>
      </c>
      <c r="G77" s="36">
        <v>3.0</v>
      </c>
      <c r="H77" s="36">
        <v>1.0</v>
      </c>
      <c r="I77" s="37" t="b">
        <v>1</v>
      </c>
      <c r="J77" s="12" t="s">
        <v>322</v>
      </c>
      <c r="K77" s="12" t="s">
        <v>397</v>
      </c>
    </row>
    <row r="78">
      <c r="A78" s="34" t="s">
        <v>351</v>
      </c>
      <c r="B78" s="34" t="s">
        <v>87</v>
      </c>
      <c r="C78" s="34" t="s">
        <v>88</v>
      </c>
      <c r="D78" s="35">
        <v>4.0</v>
      </c>
      <c r="E78" s="36">
        <v>3.0</v>
      </c>
      <c r="F78" s="36">
        <v>0.0</v>
      </c>
      <c r="G78" s="36">
        <v>3.0</v>
      </c>
      <c r="H78" s="36">
        <v>1.0</v>
      </c>
      <c r="I78" s="37" t="b">
        <v>0</v>
      </c>
      <c r="J78" s="12" t="s">
        <v>322</v>
      </c>
      <c r="K78" s="12" t="s">
        <v>397</v>
      </c>
    </row>
    <row r="79">
      <c r="A79" s="34" t="s">
        <v>398</v>
      </c>
      <c r="B79" s="34" t="s">
        <v>211</v>
      </c>
      <c r="C79" s="34" t="s">
        <v>212</v>
      </c>
      <c r="D79" s="35">
        <v>4.0</v>
      </c>
      <c r="E79" s="36">
        <v>1.0</v>
      </c>
      <c r="F79" s="36">
        <v>2.0</v>
      </c>
      <c r="G79" s="36">
        <v>3.0</v>
      </c>
      <c r="H79" s="36">
        <v>0.333333333333333</v>
      </c>
      <c r="I79" s="37" t="b">
        <v>1</v>
      </c>
      <c r="J79" s="12" t="s">
        <v>353</v>
      </c>
      <c r="K79" s="12" t="s">
        <v>397</v>
      </c>
    </row>
    <row r="80">
      <c r="A80" s="34" t="s">
        <v>399</v>
      </c>
      <c r="B80" s="34" t="s">
        <v>116</v>
      </c>
      <c r="C80" s="34" t="s">
        <v>117</v>
      </c>
      <c r="D80" s="35">
        <v>4.0</v>
      </c>
      <c r="E80" s="36">
        <v>6.0</v>
      </c>
      <c r="F80" s="36">
        <v>3.0</v>
      </c>
      <c r="G80" s="36">
        <v>9.0</v>
      </c>
      <c r="H80" s="36">
        <v>0.333333333333333</v>
      </c>
      <c r="I80" s="37" t="b">
        <v>0</v>
      </c>
      <c r="J80" s="12" t="s">
        <v>353</v>
      </c>
      <c r="K80" s="12" t="s">
        <v>397</v>
      </c>
    </row>
    <row r="81">
      <c r="A81" s="34" t="s">
        <v>351</v>
      </c>
      <c r="B81" s="34" t="s">
        <v>256</v>
      </c>
      <c r="C81" s="34" t="s">
        <v>257</v>
      </c>
      <c r="D81" s="35">
        <v>4.0</v>
      </c>
      <c r="E81" s="36">
        <v>3.0</v>
      </c>
      <c r="F81" s="36">
        <v>3.0</v>
      </c>
      <c r="G81" s="36">
        <v>6.0</v>
      </c>
      <c r="H81" s="36">
        <v>0.0</v>
      </c>
      <c r="I81" s="37" t="s">
        <v>376</v>
      </c>
      <c r="J81" s="12" t="s">
        <v>360</v>
      </c>
      <c r="K81" s="12" t="s">
        <v>397</v>
      </c>
    </row>
    <row r="82">
      <c r="A82" s="34" t="s">
        <v>388</v>
      </c>
      <c r="B82" s="34" t="s">
        <v>81</v>
      </c>
      <c r="C82" s="34" t="s">
        <v>82</v>
      </c>
      <c r="D82" s="35">
        <v>4.0</v>
      </c>
      <c r="E82" s="36">
        <v>9.0</v>
      </c>
      <c r="F82" s="36">
        <v>0.0</v>
      </c>
      <c r="G82" s="36">
        <v>9.0</v>
      </c>
      <c r="H82" s="36">
        <v>1.0</v>
      </c>
      <c r="I82" s="37" t="b">
        <v>0</v>
      </c>
      <c r="J82" s="12" t="s">
        <v>322</v>
      </c>
      <c r="K82" s="12" t="s">
        <v>400</v>
      </c>
    </row>
    <row r="83">
      <c r="A83" s="34" t="s">
        <v>401</v>
      </c>
      <c r="B83" s="34" t="s">
        <v>175</v>
      </c>
      <c r="C83" s="34" t="s">
        <v>176</v>
      </c>
      <c r="D83" s="35">
        <v>4.0</v>
      </c>
      <c r="E83" s="36">
        <v>1.0</v>
      </c>
      <c r="F83" s="36">
        <v>8.0</v>
      </c>
      <c r="G83" s="36">
        <v>9.0</v>
      </c>
      <c r="H83" s="36">
        <v>0.777777777777777</v>
      </c>
      <c r="I83" s="37" t="b">
        <v>1</v>
      </c>
      <c r="J83" s="12" t="s">
        <v>332</v>
      </c>
      <c r="K83" s="12" t="s">
        <v>400</v>
      </c>
    </row>
    <row r="84">
      <c r="A84" s="34" t="s">
        <v>402</v>
      </c>
      <c r="B84" s="34" t="s">
        <v>114</v>
      </c>
      <c r="C84" s="34" t="s">
        <v>115</v>
      </c>
      <c r="D84" s="35">
        <v>4.0</v>
      </c>
      <c r="E84" s="36">
        <v>8.0</v>
      </c>
      <c r="F84" s="36">
        <v>1.0</v>
      </c>
      <c r="G84" s="36">
        <v>9.0</v>
      </c>
      <c r="H84" s="36">
        <v>0.777777777777777</v>
      </c>
      <c r="I84" s="37" t="b">
        <v>0</v>
      </c>
      <c r="J84" s="12" t="s">
        <v>332</v>
      </c>
      <c r="K84" s="12" t="s">
        <v>400</v>
      </c>
    </row>
    <row r="85">
      <c r="A85" s="34" t="s">
        <v>379</v>
      </c>
      <c r="B85" s="34" t="s">
        <v>204</v>
      </c>
      <c r="C85" s="34" t="s">
        <v>205</v>
      </c>
      <c r="D85" s="35">
        <v>4.0</v>
      </c>
      <c r="E85" s="36">
        <v>2.0</v>
      </c>
      <c r="F85" s="36">
        <v>7.0</v>
      </c>
      <c r="G85" s="36">
        <v>9.0</v>
      </c>
      <c r="H85" s="36">
        <v>0.555555555555555</v>
      </c>
      <c r="I85" s="37" t="b">
        <v>1</v>
      </c>
      <c r="J85" s="12" t="s">
        <v>342</v>
      </c>
      <c r="K85" s="12" t="s">
        <v>400</v>
      </c>
    </row>
    <row r="86">
      <c r="A86" s="34" t="s">
        <v>393</v>
      </c>
      <c r="B86" s="34" t="s">
        <v>243</v>
      </c>
      <c r="C86" s="34" t="s">
        <v>244</v>
      </c>
      <c r="D86" s="35">
        <v>4.0</v>
      </c>
      <c r="E86" s="36">
        <v>5.0</v>
      </c>
      <c r="F86" s="36">
        <v>5.0</v>
      </c>
      <c r="G86" s="36">
        <v>10.0</v>
      </c>
      <c r="H86" s="36">
        <v>0.0</v>
      </c>
      <c r="I86" s="37" t="s">
        <v>376</v>
      </c>
      <c r="J86" s="12" t="s">
        <v>360</v>
      </c>
      <c r="K86" s="12" t="s">
        <v>400</v>
      </c>
    </row>
    <row r="87">
      <c r="A87" s="34" t="s">
        <v>403</v>
      </c>
      <c r="B87" s="34" t="s">
        <v>161</v>
      </c>
      <c r="C87" s="34" t="s">
        <v>162</v>
      </c>
      <c r="D87" s="35">
        <v>4.0</v>
      </c>
      <c r="E87" s="36">
        <v>1.0</v>
      </c>
      <c r="F87" s="36">
        <v>8.0</v>
      </c>
      <c r="G87" s="36">
        <v>9.0</v>
      </c>
      <c r="H87" s="36">
        <v>0.777777777777777</v>
      </c>
      <c r="I87" s="37" t="b">
        <v>1</v>
      </c>
      <c r="J87" s="12" t="s">
        <v>332</v>
      </c>
      <c r="K87" s="12" t="s">
        <v>404</v>
      </c>
    </row>
    <row r="88">
      <c r="A88" s="34" t="s">
        <v>405</v>
      </c>
      <c r="B88" s="34" t="s">
        <v>143</v>
      </c>
      <c r="C88" s="34" t="s">
        <v>144</v>
      </c>
      <c r="D88" s="35">
        <v>4.0</v>
      </c>
      <c r="E88" s="36">
        <v>7.0</v>
      </c>
      <c r="F88" s="36">
        <v>2.0</v>
      </c>
      <c r="G88" s="36">
        <v>9.0</v>
      </c>
      <c r="H88" s="36">
        <v>0.555555555555555</v>
      </c>
      <c r="I88" s="37" t="b">
        <v>0</v>
      </c>
      <c r="J88" s="12" t="s">
        <v>342</v>
      </c>
      <c r="K88" s="12" t="s">
        <v>404</v>
      </c>
    </row>
    <row r="89">
      <c r="A89" s="34" t="s">
        <v>359</v>
      </c>
      <c r="B89" s="34" t="s">
        <v>219</v>
      </c>
      <c r="C89" s="34" t="s">
        <v>220</v>
      </c>
      <c r="D89" s="35">
        <v>4.0</v>
      </c>
      <c r="E89" s="36">
        <v>3.0</v>
      </c>
      <c r="F89" s="36">
        <v>6.0</v>
      </c>
      <c r="G89" s="36">
        <v>9.0</v>
      </c>
      <c r="H89" s="36">
        <v>0.333333333333333</v>
      </c>
      <c r="I89" s="37" t="b">
        <v>1</v>
      </c>
      <c r="J89" s="12" t="s">
        <v>353</v>
      </c>
      <c r="K89" s="12" t="s">
        <v>404</v>
      </c>
    </row>
    <row r="90">
      <c r="A90" s="34" t="s">
        <v>326</v>
      </c>
      <c r="B90" s="34" t="s">
        <v>270</v>
      </c>
      <c r="C90" s="34" t="s">
        <v>271</v>
      </c>
      <c r="D90" s="35">
        <v>4.0</v>
      </c>
      <c r="E90" s="36">
        <v>6.0</v>
      </c>
      <c r="F90" s="36">
        <v>3.0</v>
      </c>
      <c r="G90" s="36">
        <v>9.0</v>
      </c>
      <c r="H90" s="36">
        <v>0.333333333333333</v>
      </c>
      <c r="I90" s="37" t="b">
        <v>0</v>
      </c>
      <c r="J90" s="12" t="s">
        <v>353</v>
      </c>
      <c r="K90" s="12" t="s">
        <v>404</v>
      </c>
    </row>
    <row r="91">
      <c r="A91" s="34" t="s">
        <v>406</v>
      </c>
      <c r="B91" s="34" t="s">
        <v>182</v>
      </c>
      <c r="C91" s="34" t="s">
        <v>183</v>
      </c>
      <c r="D91" s="35">
        <v>4.0</v>
      </c>
      <c r="E91" s="36">
        <v>2.0</v>
      </c>
      <c r="F91" s="36">
        <v>2.0</v>
      </c>
      <c r="G91" s="36">
        <v>4.0</v>
      </c>
      <c r="H91" s="36">
        <v>0.0</v>
      </c>
      <c r="I91" s="37" t="s">
        <v>376</v>
      </c>
      <c r="J91" s="12" t="s">
        <v>360</v>
      </c>
      <c r="K91" s="12" t="s">
        <v>404</v>
      </c>
    </row>
    <row r="92">
      <c r="A92" s="34" t="s">
        <v>407</v>
      </c>
      <c r="B92" s="34" t="s">
        <v>78</v>
      </c>
      <c r="C92" s="34" t="s">
        <v>79</v>
      </c>
      <c r="D92" s="35">
        <v>4.0</v>
      </c>
      <c r="E92" s="36">
        <v>0.0</v>
      </c>
      <c r="F92" s="36">
        <v>9.0</v>
      </c>
      <c r="G92" s="36">
        <v>9.0</v>
      </c>
      <c r="H92" s="36">
        <v>1.0</v>
      </c>
      <c r="I92" s="37" t="b">
        <v>1</v>
      </c>
      <c r="J92" s="12" t="s">
        <v>322</v>
      </c>
      <c r="K92" s="12" t="s">
        <v>408</v>
      </c>
    </row>
    <row r="93">
      <c r="A93" s="34" t="s">
        <v>391</v>
      </c>
      <c r="B93" s="34" t="s">
        <v>149</v>
      </c>
      <c r="C93" s="34" t="s">
        <v>150</v>
      </c>
      <c r="D93" s="35">
        <v>4.0</v>
      </c>
      <c r="E93" s="36">
        <v>9.0</v>
      </c>
      <c r="F93" s="36">
        <v>0.0</v>
      </c>
      <c r="G93" s="36">
        <v>9.0</v>
      </c>
      <c r="H93" s="36">
        <v>1.0</v>
      </c>
      <c r="I93" s="37" t="b">
        <v>0</v>
      </c>
      <c r="J93" s="12" t="s">
        <v>322</v>
      </c>
      <c r="K93" s="12" t="s">
        <v>408</v>
      </c>
    </row>
    <row r="94">
      <c r="A94" s="34" t="s">
        <v>369</v>
      </c>
      <c r="B94" s="34" t="s">
        <v>167</v>
      </c>
      <c r="C94" s="34" t="s">
        <v>168</v>
      </c>
      <c r="D94" s="35">
        <v>4.0</v>
      </c>
      <c r="E94" s="36">
        <v>1.0</v>
      </c>
      <c r="F94" s="36">
        <v>2.0</v>
      </c>
      <c r="G94" s="36">
        <v>3.0</v>
      </c>
      <c r="H94" s="36">
        <v>0.333333333333333</v>
      </c>
      <c r="I94" s="37" t="b">
        <v>1</v>
      </c>
      <c r="J94" s="12" t="s">
        <v>353</v>
      </c>
      <c r="K94" s="12" t="s">
        <v>408</v>
      </c>
    </row>
    <row r="95">
      <c r="A95" s="34" t="s">
        <v>409</v>
      </c>
      <c r="B95" s="34" t="s">
        <v>76</v>
      </c>
      <c r="C95" s="34" t="s">
        <v>77</v>
      </c>
      <c r="D95" s="35">
        <v>4.0</v>
      </c>
      <c r="E95" s="36">
        <v>5.0</v>
      </c>
      <c r="F95" s="36">
        <v>4.0</v>
      </c>
      <c r="G95" s="36">
        <v>9.0</v>
      </c>
      <c r="H95" s="36">
        <v>0.111111111111111</v>
      </c>
      <c r="I95" s="37" t="b">
        <v>0</v>
      </c>
      <c r="J95" s="12" t="s">
        <v>360</v>
      </c>
      <c r="K95" s="12" t="s">
        <v>408</v>
      </c>
    </row>
    <row r="96">
      <c r="A96" s="34" t="s">
        <v>389</v>
      </c>
      <c r="B96" s="34" t="s">
        <v>200</v>
      </c>
      <c r="C96" s="34" t="s">
        <v>201</v>
      </c>
      <c r="D96" s="35">
        <v>4.0</v>
      </c>
      <c r="E96" s="36">
        <v>4.0</v>
      </c>
      <c r="F96" s="36">
        <v>4.0</v>
      </c>
      <c r="G96" s="36">
        <v>8.0</v>
      </c>
      <c r="H96" s="36">
        <v>0.0</v>
      </c>
      <c r="I96" s="37" t="s">
        <v>376</v>
      </c>
      <c r="J96" s="12" t="s">
        <v>360</v>
      </c>
      <c r="K96" s="12" t="s">
        <v>408</v>
      </c>
    </row>
    <row r="97">
      <c r="A97" s="34" t="s">
        <v>410</v>
      </c>
      <c r="B97" s="34" t="s">
        <v>239</v>
      </c>
      <c r="C97" s="34" t="s">
        <v>240</v>
      </c>
      <c r="D97" s="35">
        <v>4.0</v>
      </c>
      <c r="E97" s="36">
        <v>1.0</v>
      </c>
      <c r="F97" s="36">
        <v>8.0</v>
      </c>
      <c r="G97" s="36">
        <v>9.0</v>
      </c>
      <c r="H97" s="36">
        <v>0.777777777777777</v>
      </c>
      <c r="I97" s="37" t="b">
        <v>1</v>
      </c>
      <c r="J97" s="12" t="s">
        <v>332</v>
      </c>
      <c r="K97" s="12" t="s">
        <v>113</v>
      </c>
    </row>
    <row r="98">
      <c r="A98" s="34" t="s">
        <v>411</v>
      </c>
      <c r="B98" s="34" t="s">
        <v>241</v>
      </c>
      <c r="C98" s="34" t="s">
        <v>242</v>
      </c>
      <c r="D98" s="35">
        <v>4.0</v>
      </c>
      <c r="E98" s="36">
        <v>7.0</v>
      </c>
      <c r="F98" s="36">
        <v>2.0</v>
      </c>
      <c r="G98" s="36">
        <v>9.0</v>
      </c>
      <c r="H98" s="36">
        <v>0.555555555555555</v>
      </c>
      <c r="I98" s="37" t="b">
        <v>0</v>
      </c>
      <c r="J98" s="12" t="s">
        <v>342</v>
      </c>
      <c r="K98" s="12" t="s">
        <v>113</v>
      </c>
    </row>
    <row r="99">
      <c r="A99" s="34" t="s">
        <v>401</v>
      </c>
      <c r="B99" s="34" t="s">
        <v>118</v>
      </c>
      <c r="C99" s="34" t="s">
        <v>119</v>
      </c>
      <c r="D99" s="35">
        <v>4.0</v>
      </c>
      <c r="E99" s="36">
        <v>1.0</v>
      </c>
      <c r="F99" s="36">
        <v>3.0</v>
      </c>
      <c r="G99" s="36">
        <v>4.0</v>
      </c>
      <c r="H99" s="36">
        <v>0.5</v>
      </c>
      <c r="I99" s="37" t="b">
        <v>1</v>
      </c>
      <c r="J99" s="12" t="s">
        <v>342</v>
      </c>
      <c r="K99" s="12" t="s">
        <v>113</v>
      </c>
    </row>
    <row r="100">
      <c r="A100" s="34" t="s">
        <v>412</v>
      </c>
      <c r="B100" s="34" t="s">
        <v>163</v>
      </c>
      <c r="C100" s="34" t="s">
        <v>164</v>
      </c>
      <c r="D100" s="35">
        <v>4.0</v>
      </c>
      <c r="E100" s="36">
        <v>5.0</v>
      </c>
      <c r="F100" s="36">
        <v>4.0</v>
      </c>
      <c r="G100" s="36">
        <v>9.0</v>
      </c>
      <c r="H100" s="36">
        <v>0.111111111111111</v>
      </c>
      <c r="I100" s="37" t="b">
        <v>0</v>
      </c>
      <c r="J100" s="12" t="s">
        <v>360</v>
      </c>
      <c r="K100" s="12" t="s">
        <v>113</v>
      </c>
    </row>
    <row r="101">
      <c r="A101" s="34" t="s">
        <v>413</v>
      </c>
      <c r="B101" s="34" t="s">
        <v>187</v>
      </c>
      <c r="C101" s="34" t="s">
        <v>188</v>
      </c>
      <c r="D101" s="35">
        <v>4.0</v>
      </c>
      <c r="E101" s="36">
        <v>2.0</v>
      </c>
      <c r="F101" s="36">
        <v>2.0</v>
      </c>
      <c r="G101" s="36">
        <v>4.0</v>
      </c>
      <c r="H101" s="36">
        <v>0.0</v>
      </c>
      <c r="I101" s="37" t="s">
        <v>376</v>
      </c>
      <c r="J101" s="12" t="s">
        <v>360</v>
      </c>
      <c r="K101" s="12" t="s">
        <v>113</v>
      </c>
    </row>
  </sheetData>
  <autoFilter ref="$A$1:$K$101">
    <sortState ref="A1:K101">
      <sortCondition ref="K1:K101"/>
    </sortState>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7C3"/>
    <outlinePr summaryBelow="0" summaryRight="0"/>
  </sheetPr>
  <sheetViews>
    <sheetView workbookViewId="0"/>
  </sheetViews>
  <sheetFormatPr customHeight="1" defaultColWidth="12.63" defaultRowHeight="15.75"/>
  <cols>
    <col customWidth="1" min="2" max="2" width="53.13"/>
    <col customWidth="1" min="3" max="3" width="21.75"/>
    <col customWidth="1" min="6" max="6" width="14.38"/>
    <col customWidth="1" min="8" max="8" width="12.75"/>
    <col customWidth="1" hidden="1" min="10" max="10" width="7.5"/>
    <col customWidth="1" hidden="1" min="11" max="11" width="7.75"/>
    <col customWidth="1" hidden="1" min="12" max="12" width="7.25"/>
    <col customWidth="1" hidden="1" min="13" max="13" width="6.25"/>
    <col customWidth="1" hidden="1" min="14" max="14" width="8.38"/>
    <col customWidth="1" hidden="1" min="15" max="15" width="23.88"/>
    <col customWidth="1" min="16" max="16" width="39.75"/>
  </cols>
  <sheetData>
    <row r="1">
      <c r="A1" s="23" t="s">
        <v>65</v>
      </c>
      <c r="B1" s="24" t="s">
        <v>66</v>
      </c>
      <c r="C1" s="38" t="s">
        <v>414</v>
      </c>
      <c r="D1" s="39" t="s">
        <v>38</v>
      </c>
      <c r="E1" s="38" t="s">
        <v>39</v>
      </c>
      <c r="F1" s="38" t="s">
        <v>40</v>
      </c>
      <c r="G1" s="38" t="s">
        <v>41</v>
      </c>
      <c r="H1" s="39" t="s">
        <v>42</v>
      </c>
      <c r="I1" s="40" t="s">
        <v>415</v>
      </c>
      <c r="J1" s="39" t="s">
        <v>38</v>
      </c>
      <c r="K1" s="38" t="s">
        <v>39</v>
      </c>
      <c r="L1" s="38" t="s">
        <v>40</v>
      </c>
      <c r="M1" s="38" t="s">
        <v>41</v>
      </c>
      <c r="N1" s="39" t="s">
        <v>42</v>
      </c>
      <c r="O1" s="40" t="s">
        <v>416</v>
      </c>
      <c r="P1" s="40" t="str">
        <f t="array" ref="P1:P101">O:O</f>
        <v>Comments</v>
      </c>
      <c r="Q1" s="41" t="s">
        <v>417</v>
      </c>
      <c r="R1" s="19" t="s">
        <v>418</v>
      </c>
      <c r="S1" s="19" t="s">
        <v>419</v>
      </c>
    </row>
    <row r="2">
      <c r="A2" s="34" t="s">
        <v>268</v>
      </c>
      <c r="B2" s="34" t="s">
        <v>269</v>
      </c>
      <c r="C2" s="42"/>
      <c r="D2" s="42" t="b">
        <f t="shared" ref="D2:H2" si="1">VLOOKUP($A2, INDIRECT(D$1&amp;"!A:C"), 3, FALSE)</f>
        <v>0</v>
      </c>
      <c r="E2" s="42" t="str">
        <f t="shared" si="1"/>
        <v>TO DO</v>
      </c>
      <c r="F2" s="42" t="str">
        <f t="shared" si="1"/>
        <v>TO DO</v>
      </c>
      <c r="G2" s="42" t="b">
        <f t="shared" si="1"/>
        <v>0</v>
      </c>
      <c r="H2" s="42" t="b">
        <f t="shared" si="1"/>
        <v>0</v>
      </c>
      <c r="I2" s="43">
        <f t="shared" ref="I2:I101" si="4">IF(COUNTA(D2:H2)=COUNTIF(D2:H2, "TO DO"), 0, ABS((COUNTIF(D2:H2,"TRUE")-COUNTIF(D2:H2, "FALSE")) / (COUNTA(D2:H2)-COUNTIF(D2:H2, "TO DO"))))</f>
        <v>1</v>
      </c>
      <c r="J2" s="44" t="str">
        <f t="shared" ref="J2:N2" si="2">VLOOKUP($A2, INDIRECT(J$1&amp;"!A:D"), 4, FALSE)</f>
        <v/>
      </c>
      <c r="K2" s="44" t="str">
        <f t="shared" si="2"/>
        <v/>
      </c>
      <c r="L2" s="44" t="str">
        <f t="shared" si="2"/>
        <v/>
      </c>
      <c r="M2" s="44" t="str">
        <f t="shared" si="2"/>
        <v/>
      </c>
      <c r="N2" s="44" t="str">
        <f t="shared" si="2"/>
        <v/>
      </c>
      <c r="O2" s="43" t="str">
        <f>IFERROR(__xludf.DUMMYFUNCTION("IF(COUNTA(J2:N2)=0, """", ARRAYFORMULA(""- ""&amp;TEXTJOIN(char(10)&amp;""- "", TRUE, FILTER(J$1:N$1&amp;"": ""&amp;J2:N2, NOT(ISBLANK(J2:N2))))))"),"")</f>
        <v/>
      </c>
      <c r="P2" s="43" t="s">
        <v>420</v>
      </c>
      <c r="Q2" s="45" t="b">
        <v>0</v>
      </c>
    </row>
    <row r="3" hidden="1">
      <c r="A3" s="34" t="s">
        <v>71</v>
      </c>
      <c r="B3" s="34" t="s">
        <v>72</v>
      </c>
      <c r="C3" s="7" t="s">
        <v>421</v>
      </c>
      <c r="D3" s="42" t="b">
        <f t="shared" ref="D3:H3" si="3">VLOOKUP($A3, INDIRECT(D$1&amp;"!A:C"), 3, FALSE)</f>
        <v>1</v>
      </c>
      <c r="E3" s="42" t="str">
        <f t="shared" si="3"/>
        <v>TO DO</v>
      </c>
      <c r="F3" s="42" t="str">
        <f t="shared" si="3"/>
        <v>TO DO</v>
      </c>
      <c r="G3" s="42" t="b">
        <f t="shared" si="3"/>
        <v>1</v>
      </c>
      <c r="H3" s="42" t="b">
        <f t="shared" si="3"/>
        <v>0</v>
      </c>
      <c r="I3" s="43">
        <f t="shared" si="4"/>
        <v>0.3333333333</v>
      </c>
      <c r="J3" s="44" t="str">
        <f t="shared" ref="J3:N3" si="5">VLOOKUP($A3, INDIRECT(J$1&amp;"!A:D"), 4, FALSE)</f>
        <v/>
      </c>
      <c r="K3" s="44" t="str">
        <f t="shared" si="5"/>
        <v/>
      </c>
      <c r="L3" s="44" t="str">
        <f t="shared" si="5"/>
        <v/>
      </c>
      <c r="M3" s="44" t="str">
        <f t="shared" si="5"/>
        <v/>
      </c>
      <c r="N3" s="44" t="str">
        <f t="shared" si="5"/>
        <v/>
      </c>
      <c r="O3" s="43" t="str">
        <f>IFERROR(__xludf.DUMMYFUNCTION("IF(COUNTA(J3:N3)=0, """", ARRAYFORMULA(""- ""&amp;TEXTJOIN(char(10)&amp;""- "", TRUE, FILTER(J$1:N$1&amp;"": ""&amp;J3:N3, NOT(ISBLANK(J3:N3))))))"),"")</f>
        <v/>
      </c>
      <c r="P3" s="43" t="s">
        <v>420</v>
      </c>
      <c r="Q3" s="45" t="s">
        <v>376</v>
      </c>
    </row>
    <row r="4" hidden="1">
      <c r="A4" s="34" t="s">
        <v>151</v>
      </c>
      <c r="B4" s="34" t="s">
        <v>152</v>
      </c>
      <c r="C4" s="7" t="s">
        <v>421</v>
      </c>
      <c r="D4" s="42" t="b">
        <f t="shared" ref="D4:H4" si="6">VLOOKUP($A4, INDIRECT(D$1&amp;"!A:C"), 3, FALSE)</f>
        <v>1</v>
      </c>
      <c r="E4" s="42" t="str">
        <f t="shared" si="6"/>
        <v>TO DO</v>
      </c>
      <c r="F4" s="42" t="str">
        <f t="shared" si="6"/>
        <v>TO DO</v>
      </c>
      <c r="G4" s="42" t="b">
        <f t="shared" si="6"/>
        <v>1</v>
      </c>
      <c r="H4" s="42" t="b">
        <f t="shared" si="6"/>
        <v>0</v>
      </c>
      <c r="I4" s="43">
        <f t="shared" si="4"/>
        <v>0.3333333333</v>
      </c>
      <c r="J4" s="44" t="str">
        <f t="shared" ref="J4:N4" si="7">VLOOKUP($A4, INDIRECT(J$1&amp;"!A:D"), 4, FALSE)</f>
        <v/>
      </c>
      <c r="K4" s="44" t="str">
        <f t="shared" si="7"/>
        <v/>
      </c>
      <c r="L4" s="44" t="str">
        <f t="shared" si="7"/>
        <v/>
      </c>
      <c r="M4" s="44" t="str">
        <f t="shared" si="7"/>
        <v/>
      </c>
      <c r="N4" s="44" t="str">
        <f t="shared" si="7"/>
        <v>more data based no link to SDG 4 objectives specifically</v>
      </c>
      <c r="O4" s="43" t="str">
        <f>IFERROR(__xludf.DUMMYFUNCTION("IF(COUNTA(J4:N4)=0, """", ARRAYFORMULA(""- ""&amp;TEXTJOIN(char(10)&amp;""- "", TRUE, FILTER(J$1:N$1&amp;"": ""&amp;J4:N4, NOT(ISBLANK(J4:N4))))))"),"- Steve: more data based no link to SDG 4 objectives specifically")</f>
        <v>- Steve: more data based no link to SDG 4 objectives specifically</v>
      </c>
      <c r="P4" s="43" t="s">
        <v>422</v>
      </c>
      <c r="Q4" s="45" t="s">
        <v>376</v>
      </c>
    </row>
    <row r="5">
      <c r="A5" s="34" t="s">
        <v>202</v>
      </c>
      <c r="B5" s="34" t="s">
        <v>203</v>
      </c>
      <c r="C5" s="7"/>
      <c r="D5" s="42" t="b">
        <f t="shared" ref="D5:H5" si="8">VLOOKUP($A5, INDIRECT(D$1&amp;"!A:C"), 3, FALSE)</f>
        <v>0</v>
      </c>
      <c r="E5" s="42" t="str">
        <f t="shared" si="8"/>
        <v>TO DO</v>
      </c>
      <c r="F5" s="42" t="str">
        <f t="shared" si="8"/>
        <v>TO DO</v>
      </c>
      <c r="G5" s="42" t="b">
        <f t="shared" si="8"/>
        <v>0</v>
      </c>
      <c r="H5" s="42" t="b">
        <f t="shared" si="8"/>
        <v>0</v>
      </c>
      <c r="I5" s="43">
        <f t="shared" si="4"/>
        <v>1</v>
      </c>
      <c r="J5" s="44" t="str">
        <f t="shared" ref="J5:N5" si="9">VLOOKUP($A5, INDIRECT(J$1&amp;"!A:D"), 4, FALSE)</f>
        <v/>
      </c>
      <c r="K5" s="44" t="str">
        <f t="shared" si="9"/>
        <v/>
      </c>
      <c r="L5" s="44" t="str">
        <f t="shared" si="9"/>
        <v/>
      </c>
      <c r="M5" s="44" t="str">
        <f t="shared" si="9"/>
        <v/>
      </c>
      <c r="N5" s="44" t="str">
        <f t="shared" si="9"/>
        <v/>
      </c>
      <c r="O5" s="43" t="str">
        <f>IFERROR(__xludf.DUMMYFUNCTION("IF(COUNTA(J5:N5)=0, """", ARRAYFORMULA(""- ""&amp;TEXTJOIN(char(10)&amp;""- "", TRUE, FILTER(J$1:N$1&amp;"": ""&amp;J5:N5, NOT(ISBLANK(J5:N5))))))"),"")</f>
        <v/>
      </c>
      <c r="P5" s="43" t="s">
        <v>420</v>
      </c>
      <c r="Q5" s="45" t="b">
        <v>0</v>
      </c>
    </row>
    <row r="6">
      <c r="A6" s="34" t="s">
        <v>272</v>
      </c>
      <c r="B6" s="34" t="s">
        <v>273</v>
      </c>
      <c r="C6" s="7"/>
      <c r="D6" s="42" t="b">
        <f t="shared" ref="D6:H6" si="10">VLOOKUP($A6, INDIRECT(D$1&amp;"!A:C"), 3, FALSE)</f>
        <v>0</v>
      </c>
      <c r="E6" s="42" t="str">
        <f t="shared" si="10"/>
        <v>TO DO</v>
      </c>
      <c r="F6" s="42" t="str">
        <f t="shared" si="10"/>
        <v>TO DO</v>
      </c>
      <c r="G6" s="42" t="b">
        <f t="shared" si="10"/>
        <v>0</v>
      </c>
      <c r="H6" s="42" t="b">
        <f t="shared" si="10"/>
        <v>0</v>
      </c>
      <c r="I6" s="43">
        <f t="shared" si="4"/>
        <v>1</v>
      </c>
      <c r="J6" s="44" t="str">
        <f t="shared" ref="J6:N6" si="11">VLOOKUP($A6, INDIRECT(J$1&amp;"!A:D"), 4, FALSE)</f>
        <v/>
      </c>
      <c r="K6" s="44" t="str">
        <f t="shared" si="11"/>
        <v/>
      </c>
      <c r="L6" s="44" t="str">
        <f t="shared" si="11"/>
        <v/>
      </c>
      <c r="M6" s="44" t="str">
        <f t="shared" si="11"/>
        <v/>
      </c>
      <c r="N6" s="44" t="str">
        <f t="shared" si="11"/>
        <v/>
      </c>
      <c r="O6" s="43" t="str">
        <f>IFERROR(__xludf.DUMMYFUNCTION("IF(COUNTA(J6:N6)=0, """", ARRAYFORMULA(""- ""&amp;TEXTJOIN(char(10)&amp;""- "", TRUE, FILTER(J$1:N$1&amp;"": ""&amp;J6:N6, NOT(ISBLANK(J6:N6))))))"),"")</f>
        <v/>
      </c>
      <c r="P6" s="43" t="s">
        <v>420</v>
      </c>
      <c r="Q6" s="45" t="b">
        <v>0</v>
      </c>
    </row>
    <row r="7">
      <c r="A7" s="34" t="s">
        <v>139</v>
      </c>
      <c r="B7" s="34" t="s">
        <v>140</v>
      </c>
      <c r="C7" s="7"/>
      <c r="D7" s="42" t="b">
        <f t="shared" ref="D7:H7" si="12">VLOOKUP($A7, INDIRECT(D$1&amp;"!A:C"), 3, FALSE)</f>
        <v>0</v>
      </c>
      <c r="E7" s="42" t="str">
        <f t="shared" si="12"/>
        <v>TO DO</v>
      </c>
      <c r="F7" s="42" t="str">
        <f t="shared" si="12"/>
        <v>TO DO</v>
      </c>
      <c r="G7" s="42" t="b">
        <f t="shared" si="12"/>
        <v>0</v>
      </c>
      <c r="H7" s="42" t="b">
        <f t="shared" si="12"/>
        <v>0</v>
      </c>
      <c r="I7" s="43">
        <f t="shared" si="4"/>
        <v>1</v>
      </c>
      <c r="J7" s="44" t="str">
        <f t="shared" ref="J7:N7" si="13">VLOOKUP($A7, INDIRECT(J$1&amp;"!A:D"), 4, FALSE)</f>
        <v/>
      </c>
      <c r="K7" s="44" t="str">
        <f t="shared" si="13"/>
        <v/>
      </c>
      <c r="L7" s="44" t="str">
        <f t="shared" si="13"/>
        <v/>
      </c>
      <c r="M7" s="44" t="str">
        <f t="shared" si="13"/>
        <v/>
      </c>
      <c r="N7" s="44" t="str">
        <f t="shared" si="13"/>
        <v/>
      </c>
      <c r="O7" s="43" t="str">
        <f>IFERROR(__xludf.DUMMYFUNCTION("IF(COUNTA(J7:N7)=0, """", ARRAYFORMULA(""- ""&amp;TEXTJOIN(char(10)&amp;""- "", TRUE, FILTER(J$1:N$1&amp;"": ""&amp;J7:N7, NOT(ISBLANK(J7:N7))))))"),"")</f>
        <v/>
      </c>
      <c r="P7" s="43" t="s">
        <v>420</v>
      </c>
      <c r="Q7" s="45" t="b">
        <v>0</v>
      </c>
    </row>
    <row r="8">
      <c r="A8" s="34" t="s">
        <v>171</v>
      </c>
      <c r="B8" s="34" t="s">
        <v>172</v>
      </c>
      <c r="C8" s="7"/>
      <c r="D8" s="42" t="b">
        <f t="shared" ref="D8:H8" si="14">VLOOKUP($A8, INDIRECT(D$1&amp;"!A:C"), 3, FALSE)</f>
        <v>0</v>
      </c>
      <c r="E8" s="42" t="str">
        <f t="shared" si="14"/>
        <v>TO DO</v>
      </c>
      <c r="F8" s="42" t="str">
        <f t="shared" si="14"/>
        <v>TO DO</v>
      </c>
      <c r="G8" s="42" t="b">
        <f t="shared" si="14"/>
        <v>0</v>
      </c>
      <c r="H8" s="42" t="b">
        <f t="shared" si="14"/>
        <v>0</v>
      </c>
      <c r="I8" s="43">
        <f t="shared" si="4"/>
        <v>1</v>
      </c>
      <c r="J8" s="44" t="str">
        <f t="shared" ref="J8:N8" si="15">VLOOKUP($A8, INDIRECT(J$1&amp;"!A:D"), 4, FALSE)</f>
        <v/>
      </c>
      <c r="K8" s="44" t="str">
        <f t="shared" si="15"/>
        <v/>
      </c>
      <c r="L8" s="44" t="str">
        <f t="shared" si="15"/>
        <v/>
      </c>
      <c r="M8" s="44" t="str">
        <f t="shared" si="15"/>
        <v/>
      </c>
      <c r="N8" s="44" t="str">
        <f t="shared" si="15"/>
        <v/>
      </c>
      <c r="O8" s="43" t="str">
        <f>IFERROR(__xludf.DUMMYFUNCTION("IF(COUNTA(J8:N8)=0, """", ARRAYFORMULA(""- ""&amp;TEXTJOIN(char(10)&amp;""- "", TRUE, FILTER(J$1:N$1&amp;"": ""&amp;J8:N8, NOT(ISBLANK(J8:N8))))))"),"")</f>
        <v/>
      </c>
      <c r="P8" s="43" t="s">
        <v>420</v>
      </c>
      <c r="Q8" s="45" t="b">
        <v>0</v>
      </c>
    </row>
    <row r="9">
      <c r="A9" s="34" t="s">
        <v>258</v>
      </c>
      <c r="B9" s="34" t="s">
        <v>259</v>
      </c>
      <c r="C9" s="7"/>
      <c r="D9" s="42" t="b">
        <f t="shared" ref="D9:H9" si="16">VLOOKUP($A9, INDIRECT(D$1&amp;"!A:C"), 3, FALSE)</f>
        <v>1</v>
      </c>
      <c r="E9" s="42" t="str">
        <f t="shared" si="16"/>
        <v>TO DO</v>
      </c>
      <c r="F9" s="42" t="str">
        <f t="shared" si="16"/>
        <v>TO DO</v>
      </c>
      <c r="G9" s="42" t="b">
        <f t="shared" si="16"/>
        <v>1</v>
      </c>
      <c r="H9" s="42" t="b">
        <f t="shared" si="16"/>
        <v>1</v>
      </c>
      <c r="I9" s="43">
        <f t="shared" si="4"/>
        <v>1</v>
      </c>
      <c r="J9" s="44" t="str">
        <f t="shared" ref="J9:N9" si="17">VLOOKUP($A9, INDIRECT(J$1&amp;"!A:D"), 4, FALSE)</f>
        <v/>
      </c>
      <c r="K9" s="44" t="str">
        <f t="shared" si="17"/>
        <v/>
      </c>
      <c r="L9" s="44" t="str">
        <f t="shared" si="17"/>
        <v/>
      </c>
      <c r="M9" s="44" t="str">
        <f t="shared" si="17"/>
        <v/>
      </c>
      <c r="N9" s="44" t="str">
        <f t="shared" si="17"/>
        <v>education access + quality</v>
      </c>
      <c r="O9" s="43" t="str">
        <f>IFERROR(__xludf.DUMMYFUNCTION("IF(COUNTA(J9:N9)=0, """", ARRAYFORMULA(""- ""&amp;TEXTJOIN(char(10)&amp;""- "", TRUE, FILTER(J$1:N$1&amp;"": ""&amp;J9:N9, NOT(ISBLANK(J9:N9))))))"),"- Steve: education access + quality")</f>
        <v>- Steve: education access + quality</v>
      </c>
      <c r="P9" s="43" t="s">
        <v>423</v>
      </c>
      <c r="Q9" s="45" t="b">
        <v>1</v>
      </c>
    </row>
    <row r="10">
      <c r="A10" s="34" t="s">
        <v>221</v>
      </c>
      <c r="B10" s="34" t="s">
        <v>222</v>
      </c>
      <c r="C10" s="42"/>
      <c r="D10" s="42" t="b">
        <f t="shared" ref="D10:H10" si="18">VLOOKUP($A10, INDIRECT(D$1&amp;"!A:C"), 3, FALSE)</f>
        <v>1</v>
      </c>
      <c r="E10" s="42" t="str">
        <f t="shared" si="18"/>
        <v>TO DO</v>
      </c>
      <c r="F10" s="42" t="str">
        <f t="shared" si="18"/>
        <v>TO DO</v>
      </c>
      <c r="G10" s="42" t="b">
        <f t="shared" si="18"/>
        <v>1</v>
      </c>
      <c r="H10" s="42" t="b">
        <f t="shared" si="18"/>
        <v>1</v>
      </c>
      <c r="I10" s="43">
        <f t="shared" si="4"/>
        <v>1</v>
      </c>
      <c r="J10" s="44" t="str">
        <f t="shared" ref="J10:N10" si="19">VLOOKUP($A10, INDIRECT(J$1&amp;"!A:D"), 4, FALSE)</f>
        <v/>
      </c>
      <c r="K10" s="44" t="str">
        <f t="shared" si="19"/>
        <v/>
      </c>
      <c r="L10" s="44" t="str">
        <f t="shared" si="19"/>
        <v/>
      </c>
      <c r="M10" s="44" t="str">
        <f t="shared" si="19"/>
        <v/>
      </c>
      <c r="N10" s="44" t="str">
        <f t="shared" si="19"/>
        <v/>
      </c>
      <c r="O10" s="43" t="str">
        <f>IFERROR(__xludf.DUMMYFUNCTION("IF(COUNTA(J10:N10)=0, """", ARRAYFORMULA(""- ""&amp;TEXTJOIN(char(10)&amp;""- "", TRUE, FILTER(J$1:N$1&amp;"": ""&amp;J10:N10, NOT(ISBLANK(J10:N10))))))"),"")</f>
        <v/>
      </c>
      <c r="P10" s="43" t="s">
        <v>420</v>
      </c>
      <c r="Q10" s="45" t="b">
        <v>1</v>
      </c>
    </row>
    <row r="11">
      <c r="A11" s="34" t="s">
        <v>231</v>
      </c>
      <c r="B11" s="34" t="s">
        <v>232</v>
      </c>
      <c r="C11" s="46"/>
      <c r="D11" s="42" t="b">
        <f t="shared" ref="D11:H11" si="20">VLOOKUP($A11, INDIRECT(D$1&amp;"!A:C"), 3, FALSE)</f>
        <v>1</v>
      </c>
      <c r="E11" s="42" t="str">
        <f t="shared" si="20"/>
        <v>TO DO</v>
      </c>
      <c r="F11" s="42" t="str">
        <f t="shared" si="20"/>
        <v>TO DO</v>
      </c>
      <c r="G11" s="42" t="b">
        <f t="shared" si="20"/>
        <v>1</v>
      </c>
      <c r="H11" s="42" t="b">
        <f t="shared" si="20"/>
        <v>1</v>
      </c>
      <c r="I11" s="43">
        <f t="shared" si="4"/>
        <v>1</v>
      </c>
      <c r="J11" s="44" t="str">
        <f t="shared" ref="J11:N11" si="21">VLOOKUP($A11, INDIRECT(J$1&amp;"!A:D"), 4, FALSE)</f>
        <v>target 4.4</v>
      </c>
      <c r="K11" s="44" t="str">
        <f t="shared" si="21"/>
        <v/>
      </c>
      <c r="L11" s="44" t="str">
        <f t="shared" si="21"/>
        <v/>
      </c>
      <c r="M11" s="44" t="str">
        <f t="shared" si="21"/>
        <v/>
      </c>
      <c r="N11" s="44" t="str">
        <f t="shared" si="21"/>
        <v/>
      </c>
      <c r="O11" s="43" t="str">
        <f>IFERROR(__xludf.DUMMYFUNCTION("IF(COUNTA(J11:N11)=0, """", ARRAYFORMULA(""- ""&amp;TEXTJOIN(char(10)&amp;""- "", TRUE, FILTER(J$1:N$1&amp;"": ""&amp;J11:N11, NOT(ISBLANK(J11:N11))))))"),"- Finn: target 4.4")</f>
        <v>- Finn: target 4.4</v>
      </c>
      <c r="P11" s="43" t="s">
        <v>424</v>
      </c>
      <c r="Q11" s="45" t="b">
        <v>1</v>
      </c>
    </row>
    <row r="12">
      <c r="A12" s="34" t="s">
        <v>93</v>
      </c>
      <c r="B12" s="34" t="s">
        <v>94</v>
      </c>
      <c r="C12" s="47"/>
      <c r="D12" s="42" t="b">
        <f t="shared" ref="D12:H12" si="22">VLOOKUP($A12, INDIRECT(D$1&amp;"!A:C"), 3, FALSE)</f>
        <v>1</v>
      </c>
      <c r="E12" s="42" t="str">
        <f t="shared" si="22"/>
        <v>TO DO</v>
      </c>
      <c r="F12" s="42" t="str">
        <f t="shared" si="22"/>
        <v>TO DO</v>
      </c>
      <c r="G12" s="42" t="b">
        <f t="shared" si="22"/>
        <v>1</v>
      </c>
      <c r="H12" s="42" t="b">
        <f t="shared" si="22"/>
        <v>1</v>
      </c>
      <c r="I12" s="43">
        <f t="shared" si="4"/>
        <v>1</v>
      </c>
      <c r="J12" s="44" t="str">
        <f t="shared" ref="J12:N12" si="23">VLOOKUP($A12, INDIRECT(J$1&amp;"!A:D"), 4, FALSE)</f>
        <v/>
      </c>
      <c r="K12" s="44" t="str">
        <f t="shared" si="23"/>
        <v/>
      </c>
      <c r="L12" s="44" t="str">
        <f t="shared" si="23"/>
        <v/>
      </c>
      <c r="M12" s="44" t="str">
        <f t="shared" si="23"/>
        <v/>
      </c>
      <c r="N12" s="44" t="str">
        <f t="shared" si="23"/>
        <v>can be seen as link to 4.4? Assuming PISA can be used as a proxy for assessing level of relevant skills among pupils</v>
      </c>
      <c r="O12" s="43" t="str">
        <f>IFERROR(__xludf.DUMMYFUNCTION("IF(COUNTA(J12:N12)=0, """", ARRAYFORMULA(""- ""&amp;TEXTJOIN(char(10)&amp;""- "", TRUE, FILTER(J$1:N$1&amp;"": ""&amp;J12:N12, NOT(ISBLANK(J12:N12))))))"),"- Steve: can be seen as link to 4.4? Assuming PISA can be used as a proxy for assessing level of relevant skills among pupils")</f>
        <v>- Steve: can be seen as link to 4.4? Assuming PISA can be used as a proxy for assessing level of relevant skills among pupils</v>
      </c>
      <c r="P12" s="43" t="s">
        <v>425</v>
      </c>
      <c r="Q12" s="45" t="b">
        <v>1</v>
      </c>
    </row>
    <row r="13">
      <c r="A13" s="34" t="s">
        <v>137</v>
      </c>
      <c r="B13" s="34" t="s">
        <v>138</v>
      </c>
      <c r="C13" s="46"/>
      <c r="D13" s="42" t="b">
        <f t="shared" ref="D13:H13" si="24">VLOOKUP($A13, INDIRECT(D$1&amp;"!A:C"), 3, FALSE)</f>
        <v>1</v>
      </c>
      <c r="E13" s="42" t="str">
        <f t="shared" si="24"/>
        <v>TO DO</v>
      </c>
      <c r="F13" s="42" t="str">
        <f t="shared" si="24"/>
        <v>TO DO</v>
      </c>
      <c r="G13" s="42" t="b">
        <f t="shared" si="24"/>
        <v>1</v>
      </c>
      <c r="H13" s="42" t="b">
        <f t="shared" si="24"/>
        <v>1</v>
      </c>
      <c r="I13" s="43">
        <f t="shared" si="4"/>
        <v>1</v>
      </c>
      <c r="J13" s="44" t="str">
        <f t="shared" ref="J13:N13" si="25">VLOOKUP($A13, INDIRECT(J$1&amp;"!A:D"), 4, FALSE)</f>
        <v/>
      </c>
      <c r="K13" s="44" t="str">
        <f t="shared" si="25"/>
        <v/>
      </c>
      <c r="L13" s="44" t="str">
        <f t="shared" si="25"/>
        <v/>
      </c>
      <c r="M13" s="44" t="str">
        <f t="shared" si="25"/>
        <v/>
      </c>
      <c r="N13" s="44" t="str">
        <f t="shared" si="25"/>
        <v/>
      </c>
      <c r="O13" s="43" t="str">
        <f>IFERROR(__xludf.DUMMYFUNCTION("IF(COUNTA(J13:N13)=0, """", ARRAYFORMULA(""- ""&amp;TEXTJOIN(char(10)&amp;""- "", TRUE, FILTER(J$1:N$1&amp;"": ""&amp;J13:N13, NOT(ISBLANK(J13:N13))))))"),"")</f>
        <v/>
      </c>
      <c r="P13" s="43" t="s">
        <v>420</v>
      </c>
      <c r="Q13" s="45" t="b">
        <v>1</v>
      </c>
    </row>
    <row r="14" hidden="1">
      <c r="A14" s="34" t="s">
        <v>109</v>
      </c>
      <c r="B14" s="34" t="s">
        <v>110</v>
      </c>
      <c r="C14" s="47" t="s">
        <v>342</v>
      </c>
      <c r="D14" s="42" t="b">
        <f t="shared" ref="D14:H14" si="26">VLOOKUP($A14, INDIRECT(D$1&amp;"!A:C"), 3, FALSE)</f>
        <v>0</v>
      </c>
      <c r="E14" s="42" t="str">
        <f t="shared" si="26"/>
        <v>TO DO</v>
      </c>
      <c r="F14" s="42" t="str">
        <f t="shared" si="26"/>
        <v>TO DO</v>
      </c>
      <c r="G14" s="42" t="b">
        <f t="shared" si="26"/>
        <v>1</v>
      </c>
      <c r="H14" s="42" t="b">
        <f t="shared" si="26"/>
        <v>1</v>
      </c>
      <c r="I14" s="43">
        <f t="shared" si="4"/>
        <v>0.3333333333</v>
      </c>
      <c r="J14" s="44" t="str">
        <f t="shared" ref="J14:N14" si="27">VLOOKUP($A14, INDIRECT(J$1&amp;"!A:D"), 4, FALSE)</f>
        <v/>
      </c>
      <c r="K14" s="44" t="str">
        <f t="shared" si="27"/>
        <v/>
      </c>
      <c r="L14" s="44" t="str">
        <f t="shared" si="27"/>
        <v/>
      </c>
      <c r="M14" s="44" t="str">
        <f t="shared" si="27"/>
        <v/>
      </c>
      <c r="N14" s="44" t="str">
        <f t="shared" si="27"/>
        <v>overcoming teacher shortages is essential also for ensuring universal access to education</v>
      </c>
      <c r="O14" s="43" t="str">
        <f>IFERROR(__xludf.DUMMYFUNCTION("IF(COUNTA(J14:N14)=0, """", ARRAYFORMULA(""- ""&amp;TEXTJOIN(char(10)&amp;""- "", TRUE, FILTER(J$1:N$1&amp;"": ""&amp;J14:N14, NOT(ISBLANK(J14:N14))))))"),"- Steve: overcoming teacher shortages is essential also for ensuring universal access to education")</f>
        <v>- Steve: overcoming teacher shortages is essential also for ensuring universal access to education</v>
      </c>
      <c r="P14" s="43" t="s">
        <v>426</v>
      </c>
      <c r="Q14" s="45" t="s">
        <v>376</v>
      </c>
    </row>
    <row r="15">
      <c r="A15" s="34" t="s">
        <v>132</v>
      </c>
      <c r="B15" s="34" t="s">
        <v>133</v>
      </c>
      <c r="C15" s="46"/>
      <c r="D15" s="42" t="b">
        <f t="shared" ref="D15:H15" si="28">VLOOKUP($A15, INDIRECT(D$1&amp;"!A:C"), 3, FALSE)</f>
        <v>1</v>
      </c>
      <c r="E15" s="42" t="str">
        <f t="shared" si="28"/>
        <v>TO DO</v>
      </c>
      <c r="F15" s="42" t="str">
        <f t="shared" si="28"/>
        <v>TO DO</v>
      </c>
      <c r="G15" s="42" t="b">
        <f t="shared" si="28"/>
        <v>1</v>
      </c>
      <c r="H15" s="42" t="b">
        <f t="shared" si="28"/>
        <v>1</v>
      </c>
      <c r="I15" s="43">
        <f t="shared" si="4"/>
        <v>1</v>
      </c>
      <c r="J15" s="44" t="str">
        <f t="shared" ref="J15:N15" si="29">VLOOKUP($A15, INDIRECT(J$1&amp;"!A:D"), 4, FALSE)</f>
        <v>ECEC = Early Childhood Education and Care</v>
      </c>
      <c r="K15" s="44" t="str">
        <f t="shared" si="29"/>
        <v/>
      </c>
      <c r="L15" s="44" t="str">
        <f t="shared" si="29"/>
        <v/>
      </c>
      <c r="M15" s="44" t="str">
        <f t="shared" si="29"/>
        <v/>
      </c>
      <c r="N15" s="44" t="str">
        <f t="shared" si="29"/>
        <v>ECEC = EarlY Childhood and Education Care</v>
      </c>
      <c r="O15" s="43" t="str">
        <f>IFERROR(__xludf.DUMMYFUNCTION("IF(COUNTA(J15:N15)=0, """", ARRAYFORMULA(""- ""&amp;TEXTJOIN(char(10)&amp;""- "", TRUE, FILTER(J$1:N$1&amp;"": ""&amp;J15:N15, NOT(ISBLANK(J15:N15))))))"),"- Finn: ECEC = Early Childhood Education and Care
- Steve: ECEC = EarlY Childhood and Education Care")</f>
        <v>- Finn: ECEC = Early Childhood Education and Care
- Steve: ECEC = EarlY Childhood and Education Care</v>
      </c>
      <c r="P15" s="43" t="s">
        <v>427</v>
      </c>
      <c r="Q15" s="45" t="b">
        <v>1</v>
      </c>
    </row>
    <row r="16">
      <c r="A16" s="34" t="s">
        <v>213</v>
      </c>
      <c r="B16" s="34" t="s">
        <v>214</v>
      </c>
      <c r="C16" s="46"/>
      <c r="D16" s="42" t="b">
        <f t="shared" ref="D16:H16" si="30">VLOOKUP($A16, INDIRECT(D$1&amp;"!A:C"), 3, FALSE)</f>
        <v>0</v>
      </c>
      <c r="E16" s="42" t="str">
        <f t="shared" si="30"/>
        <v>TO DO</v>
      </c>
      <c r="F16" s="42" t="str">
        <f t="shared" si="30"/>
        <v>TO DO</v>
      </c>
      <c r="G16" s="42" t="b">
        <f t="shared" si="30"/>
        <v>0</v>
      </c>
      <c r="H16" s="42" t="b">
        <f t="shared" si="30"/>
        <v>0</v>
      </c>
      <c r="I16" s="43">
        <f t="shared" si="4"/>
        <v>1</v>
      </c>
      <c r="J16" s="44" t="str">
        <f t="shared" ref="J16:N16" si="31">VLOOKUP($A16, INDIRECT(J$1&amp;"!A:D"), 4, FALSE)</f>
        <v/>
      </c>
      <c r="K16" s="44" t="str">
        <f t="shared" si="31"/>
        <v/>
      </c>
      <c r="L16" s="44" t="str">
        <f t="shared" si="31"/>
        <v/>
      </c>
      <c r="M16" s="44" t="str">
        <f t="shared" si="31"/>
        <v/>
      </c>
      <c r="N16" s="44" t="str">
        <f t="shared" si="31"/>
        <v/>
      </c>
      <c r="O16" s="43" t="str">
        <f>IFERROR(__xludf.DUMMYFUNCTION("IF(COUNTA(J16:N16)=0, """", ARRAYFORMULA(""- ""&amp;TEXTJOIN(char(10)&amp;""- "", TRUE, FILTER(J$1:N$1&amp;"": ""&amp;J16:N16, NOT(ISBLANK(J16:N16))))))"),"")</f>
        <v/>
      </c>
      <c r="P16" s="43" t="s">
        <v>420</v>
      </c>
      <c r="Q16" s="45" t="b">
        <v>0</v>
      </c>
    </row>
    <row r="17">
      <c r="A17" s="34" t="s">
        <v>130</v>
      </c>
      <c r="B17" s="34" t="s">
        <v>131</v>
      </c>
      <c r="C17" s="7"/>
      <c r="D17" s="42" t="b">
        <f t="shared" ref="D17:H17" si="32">VLOOKUP($A17, INDIRECT(D$1&amp;"!A:C"), 3, FALSE)</f>
        <v>0</v>
      </c>
      <c r="E17" s="42" t="str">
        <f t="shared" si="32"/>
        <v>TO DO</v>
      </c>
      <c r="F17" s="42" t="str">
        <f t="shared" si="32"/>
        <v>TO DO</v>
      </c>
      <c r="G17" s="42" t="b">
        <f t="shared" si="32"/>
        <v>0</v>
      </c>
      <c r="H17" s="42" t="b">
        <f t="shared" si="32"/>
        <v>0</v>
      </c>
      <c r="I17" s="43">
        <f t="shared" si="4"/>
        <v>1</v>
      </c>
      <c r="J17" s="44" t="str">
        <f t="shared" ref="J17:N17" si="33">VLOOKUP($A17, INDIRECT(J$1&amp;"!A:D"), 4, FALSE)</f>
        <v/>
      </c>
      <c r="K17" s="44" t="str">
        <f t="shared" si="33"/>
        <v/>
      </c>
      <c r="L17" s="44" t="str">
        <f t="shared" si="33"/>
        <v/>
      </c>
      <c r="M17" s="44" t="str">
        <f t="shared" si="33"/>
        <v/>
      </c>
      <c r="N17" s="44" t="str">
        <f t="shared" si="33"/>
        <v/>
      </c>
      <c r="O17" s="43" t="str">
        <f>IFERROR(__xludf.DUMMYFUNCTION("IF(COUNTA(J17:N17)=0, """", ARRAYFORMULA(""- ""&amp;TEXTJOIN(char(10)&amp;""- "", TRUE, FILTER(J$1:N$1&amp;"": ""&amp;J17:N17, NOT(ISBLANK(J17:N17))))))"),"")</f>
        <v/>
      </c>
      <c r="P17" s="43" t="s">
        <v>420</v>
      </c>
      <c r="Q17" s="45" t="b">
        <v>0</v>
      </c>
    </row>
    <row r="18">
      <c r="A18" s="34" t="s">
        <v>135</v>
      </c>
      <c r="B18" s="34" t="s">
        <v>136</v>
      </c>
      <c r="C18" s="7"/>
      <c r="D18" s="42" t="b">
        <f t="shared" ref="D18:H18" si="34">VLOOKUP($A18, INDIRECT(D$1&amp;"!A:C"), 3, FALSE)</f>
        <v>0</v>
      </c>
      <c r="E18" s="42" t="str">
        <f t="shared" si="34"/>
        <v>TO DO</v>
      </c>
      <c r="F18" s="42" t="str">
        <f t="shared" si="34"/>
        <v>TO DO</v>
      </c>
      <c r="G18" s="42" t="b">
        <f t="shared" si="34"/>
        <v>0</v>
      </c>
      <c r="H18" s="42" t="b">
        <f t="shared" si="34"/>
        <v>0</v>
      </c>
      <c r="I18" s="43">
        <f t="shared" si="4"/>
        <v>1</v>
      </c>
      <c r="J18" s="44" t="str">
        <f t="shared" ref="J18:N18" si="35">VLOOKUP($A18, INDIRECT(J$1&amp;"!A:D"), 4, FALSE)</f>
        <v/>
      </c>
      <c r="K18" s="44" t="str">
        <f t="shared" si="35"/>
        <v/>
      </c>
      <c r="L18" s="44" t="str">
        <f t="shared" si="35"/>
        <v/>
      </c>
      <c r="M18" s="44" t="str">
        <f t="shared" si="35"/>
        <v/>
      </c>
      <c r="N18" s="44" t="str">
        <f t="shared" si="35"/>
        <v/>
      </c>
      <c r="O18" s="43" t="str">
        <f>IFERROR(__xludf.DUMMYFUNCTION("IF(COUNTA(J18:N18)=0, """", ARRAYFORMULA(""- ""&amp;TEXTJOIN(char(10)&amp;""- "", TRUE, FILTER(J$1:N$1&amp;"": ""&amp;J18:N18, NOT(ISBLANK(J18:N18))))))"),"")</f>
        <v/>
      </c>
      <c r="P18" s="43" t="s">
        <v>420</v>
      </c>
      <c r="Q18" s="45" t="b">
        <v>0</v>
      </c>
    </row>
    <row r="19">
      <c r="A19" s="34" t="s">
        <v>276</v>
      </c>
      <c r="B19" s="34" t="s">
        <v>277</v>
      </c>
      <c r="C19" s="7"/>
      <c r="D19" s="42" t="b">
        <f t="shared" ref="D19:H19" si="36">VLOOKUP($A19, INDIRECT(D$1&amp;"!A:C"), 3, FALSE)</f>
        <v>0</v>
      </c>
      <c r="E19" s="42" t="str">
        <f t="shared" si="36"/>
        <v>TO DO</v>
      </c>
      <c r="F19" s="42" t="str">
        <f t="shared" si="36"/>
        <v>TO DO</v>
      </c>
      <c r="G19" s="42" t="b">
        <f t="shared" si="36"/>
        <v>0</v>
      </c>
      <c r="H19" s="42" t="b">
        <f t="shared" si="36"/>
        <v>0</v>
      </c>
      <c r="I19" s="43">
        <f t="shared" si="4"/>
        <v>1</v>
      </c>
      <c r="J19" s="44" t="str">
        <f t="shared" ref="J19:N19" si="37">VLOOKUP($A19, INDIRECT(J$1&amp;"!A:D"), 4, FALSE)</f>
        <v/>
      </c>
      <c r="K19" s="44" t="str">
        <f t="shared" si="37"/>
        <v/>
      </c>
      <c r="L19" s="44" t="str">
        <f t="shared" si="37"/>
        <v/>
      </c>
      <c r="M19" s="44" t="str">
        <f t="shared" si="37"/>
        <v/>
      </c>
      <c r="N19" s="44" t="str">
        <f t="shared" si="37"/>
        <v/>
      </c>
      <c r="O19" s="43" t="str">
        <f>IFERROR(__xludf.DUMMYFUNCTION("IF(COUNTA(J19:N19)=0, """", ARRAYFORMULA(""- ""&amp;TEXTJOIN(char(10)&amp;""- "", TRUE, FILTER(J$1:N$1&amp;"": ""&amp;J19:N19, NOT(ISBLANK(J19:N19))))))"),"")</f>
        <v/>
      </c>
      <c r="P19" s="43" t="s">
        <v>420</v>
      </c>
      <c r="Q19" s="45" t="b">
        <v>0</v>
      </c>
    </row>
    <row r="20">
      <c r="A20" s="34" t="s">
        <v>280</v>
      </c>
      <c r="B20" s="34" t="s">
        <v>281</v>
      </c>
      <c r="C20" s="7"/>
      <c r="D20" s="42" t="b">
        <f t="shared" ref="D20:H20" si="38">VLOOKUP($A20, INDIRECT(D$1&amp;"!A:C"), 3, FALSE)</f>
        <v>0</v>
      </c>
      <c r="E20" s="42" t="str">
        <f t="shared" si="38"/>
        <v>TO DO</v>
      </c>
      <c r="F20" s="42" t="str">
        <f t="shared" si="38"/>
        <v>TO DO</v>
      </c>
      <c r="G20" s="42" t="b">
        <f t="shared" si="38"/>
        <v>0</v>
      </c>
      <c r="H20" s="42" t="b">
        <f t="shared" si="38"/>
        <v>0</v>
      </c>
      <c r="I20" s="43">
        <f t="shared" si="4"/>
        <v>1</v>
      </c>
      <c r="J20" s="44" t="str">
        <f t="shared" ref="J20:N20" si="39">VLOOKUP($A20, INDIRECT(J$1&amp;"!A:D"), 4, FALSE)</f>
        <v/>
      </c>
      <c r="K20" s="44" t="str">
        <f t="shared" si="39"/>
        <v/>
      </c>
      <c r="L20" s="44" t="str">
        <f t="shared" si="39"/>
        <v/>
      </c>
      <c r="M20" s="44" t="str">
        <f t="shared" si="39"/>
        <v/>
      </c>
      <c r="N20" s="44" t="str">
        <f t="shared" si="39"/>
        <v/>
      </c>
      <c r="O20" s="43" t="str">
        <f>IFERROR(__xludf.DUMMYFUNCTION("IF(COUNTA(J20:N20)=0, """", ARRAYFORMULA(""- ""&amp;TEXTJOIN(char(10)&amp;""- "", TRUE, FILTER(J$1:N$1&amp;"": ""&amp;J20:N20, NOT(ISBLANK(J20:N20))))))"),"")</f>
        <v/>
      </c>
      <c r="P20" s="43" t="s">
        <v>420</v>
      </c>
      <c r="Q20" s="45" t="b">
        <v>0</v>
      </c>
    </row>
    <row r="21">
      <c r="A21" s="34" t="s">
        <v>177</v>
      </c>
      <c r="B21" s="34" t="s">
        <v>178</v>
      </c>
      <c r="C21" s="7"/>
      <c r="D21" s="42" t="b">
        <f t="shared" ref="D21:H21" si="40">VLOOKUP($A21, INDIRECT(D$1&amp;"!A:C"), 3, FALSE)</f>
        <v>1</v>
      </c>
      <c r="E21" s="42" t="str">
        <f t="shared" si="40"/>
        <v>TO DO</v>
      </c>
      <c r="F21" s="42" t="str">
        <f t="shared" si="40"/>
        <v>TO DO</v>
      </c>
      <c r="G21" s="42" t="b">
        <f t="shared" si="40"/>
        <v>1</v>
      </c>
      <c r="H21" s="42" t="b">
        <f t="shared" si="40"/>
        <v>1</v>
      </c>
      <c r="I21" s="43">
        <f t="shared" si="4"/>
        <v>1</v>
      </c>
      <c r="J21" s="44" t="str">
        <f t="shared" ref="J21:N21" si="41">VLOOKUP($A21, INDIRECT(J$1&amp;"!A:D"), 4, FALSE)</f>
        <v>target 4.4</v>
      </c>
      <c r="K21" s="44" t="str">
        <f t="shared" si="41"/>
        <v/>
      </c>
      <c r="L21" s="44" t="str">
        <f t="shared" si="41"/>
        <v/>
      </c>
      <c r="M21" s="44" t="str">
        <f t="shared" si="41"/>
        <v/>
      </c>
      <c r="N21" s="44" t="str">
        <f t="shared" si="41"/>
        <v/>
      </c>
      <c r="O21" s="43" t="str">
        <f>IFERROR(__xludf.DUMMYFUNCTION("IF(COUNTA(J21:N21)=0, """", ARRAYFORMULA(""- ""&amp;TEXTJOIN(char(10)&amp;""- "", TRUE, FILTER(J$1:N$1&amp;"": ""&amp;J21:N21, NOT(ISBLANK(J21:N21))))))"),"- Finn: target 4.4")</f>
        <v>- Finn: target 4.4</v>
      </c>
      <c r="P21" s="43" t="s">
        <v>424</v>
      </c>
      <c r="Q21" s="45" t="b">
        <v>1</v>
      </c>
    </row>
    <row r="22">
      <c r="A22" s="34" t="s">
        <v>264</v>
      </c>
      <c r="B22" s="34" t="s">
        <v>265</v>
      </c>
      <c r="C22" s="47"/>
      <c r="D22" s="42" t="b">
        <f t="shared" ref="D22:H22" si="42">VLOOKUP($A22, INDIRECT(D$1&amp;"!A:C"), 3, FALSE)</f>
        <v>1</v>
      </c>
      <c r="E22" s="42" t="str">
        <f t="shared" si="42"/>
        <v>TO DO</v>
      </c>
      <c r="F22" s="42" t="str">
        <f t="shared" si="42"/>
        <v>TO DO</v>
      </c>
      <c r="G22" s="42" t="b">
        <f t="shared" si="42"/>
        <v>1</v>
      </c>
      <c r="H22" s="42" t="b">
        <f t="shared" si="42"/>
        <v>1</v>
      </c>
      <c r="I22" s="43">
        <f t="shared" si="4"/>
        <v>1</v>
      </c>
      <c r="J22" s="44" t="str">
        <f t="shared" ref="J22:N22" si="43">VLOOKUP($A22, INDIRECT(J$1&amp;"!A:D"), 4, FALSE)</f>
        <v/>
      </c>
      <c r="K22" s="44" t="str">
        <f t="shared" si="43"/>
        <v/>
      </c>
      <c r="L22" s="44" t="str">
        <f t="shared" si="43"/>
        <v/>
      </c>
      <c r="M22" s="44" t="str">
        <f t="shared" si="43"/>
        <v/>
      </c>
      <c r="N22" s="44" t="str">
        <f t="shared" si="43"/>
        <v/>
      </c>
      <c r="O22" s="43" t="str">
        <f>IFERROR(__xludf.DUMMYFUNCTION("IF(COUNTA(J22:N22)=0, """", ARRAYFORMULA(""- ""&amp;TEXTJOIN(char(10)&amp;""- "", TRUE, FILTER(J$1:N$1&amp;"": ""&amp;J22:N22, NOT(ISBLANK(J22:N22))))))"),"")</f>
        <v/>
      </c>
      <c r="P22" s="43" t="s">
        <v>420</v>
      </c>
      <c r="Q22" s="45" t="b">
        <v>1</v>
      </c>
    </row>
    <row r="23">
      <c r="A23" s="34" t="s">
        <v>227</v>
      </c>
      <c r="B23" s="34" t="s">
        <v>228</v>
      </c>
      <c r="C23" s="42"/>
      <c r="D23" s="42" t="b">
        <f t="shared" ref="D23:H23" si="44">VLOOKUP($A23, INDIRECT(D$1&amp;"!A:C"), 3, FALSE)</f>
        <v>0</v>
      </c>
      <c r="E23" s="42" t="str">
        <f t="shared" si="44"/>
        <v>TO DO</v>
      </c>
      <c r="F23" s="42" t="str">
        <f t="shared" si="44"/>
        <v>TO DO</v>
      </c>
      <c r="G23" s="42" t="b">
        <f t="shared" si="44"/>
        <v>0</v>
      </c>
      <c r="H23" s="42" t="b">
        <f t="shared" si="44"/>
        <v>0</v>
      </c>
      <c r="I23" s="43">
        <f t="shared" si="4"/>
        <v>1</v>
      </c>
      <c r="J23" s="44" t="str">
        <f t="shared" ref="J23:N23" si="45">VLOOKUP($A23, INDIRECT(J$1&amp;"!A:D"), 4, FALSE)</f>
        <v/>
      </c>
      <c r="K23" s="44" t="str">
        <f t="shared" si="45"/>
        <v/>
      </c>
      <c r="L23" s="44" t="str">
        <f t="shared" si="45"/>
        <v/>
      </c>
      <c r="M23" s="44" t="str">
        <f t="shared" si="45"/>
        <v/>
      </c>
      <c r="N23" s="44" t="str">
        <f t="shared" si="45"/>
        <v/>
      </c>
      <c r="O23" s="43" t="str">
        <f>IFERROR(__xludf.DUMMYFUNCTION("IF(COUNTA(J23:N23)=0, """", ARRAYFORMULA(""- ""&amp;TEXTJOIN(char(10)&amp;""- "", TRUE, FILTER(J$1:N$1&amp;"": ""&amp;J23:N23, NOT(ISBLANK(J23:N23))))))"),"")</f>
        <v/>
      </c>
      <c r="P23" s="43" t="s">
        <v>420</v>
      </c>
      <c r="Q23" s="45" t="b">
        <v>0</v>
      </c>
    </row>
    <row r="24">
      <c r="A24" s="34" t="s">
        <v>104</v>
      </c>
      <c r="B24" s="34" t="s">
        <v>105</v>
      </c>
      <c r="C24" s="42"/>
      <c r="D24" s="42" t="b">
        <f t="shared" ref="D24:H24" si="46">VLOOKUP($A24, INDIRECT(D$1&amp;"!A:C"), 3, FALSE)</f>
        <v>1</v>
      </c>
      <c r="E24" s="42" t="str">
        <f t="shared" si="46"/>
        <v>TO DO</v>
      </c>
      <c r="F24" s="42" t="str">
        <f t="shared" si="46"/>
        <v>TO DO</v>
      </c>
      <c r="G24" s="42" t="b">
        <f t="shared" si="46"/>
        <v>1</v>
      </c>
      <c r="H24" s="42" t="b">
        <f t="shared" si="46"/>
        <v>1</v>
      </c>
      <c r="I24" s="43">
        <f t="shared" si="4"/>
        <v>1</v>
      </c>
      <c r="J24" s="44" t="str">
        <f t="shared" ref="J24:N24" si="47">VLOOKUP($A24, INDIRECT(J$1&amp;"!A:D"), 4, FALSE)</f>
        <v>unsure</v>
      </c>
      <c r="K24" s="44" t="str">
        <f t="shared" si="47"/>
        <v/>
      </c>
      <c r="L24" s="44" t="str">
        <f t="shared" si="47"/>
        <v/>
      </c>
      <c r="M24" s="44" t="str">
        <f t="shared" si="47"/>
        <v/>
      </c>
      <c r="N24" s="44" t="str">
        <f t="shared" si="47"/>
        <v/>
      </c>
      <c r="O24" s="43" t="str">
        <f>IFERROR(__xludf.DUMMYFUNCTION("IF(COUNTA(J24:N24)=0, """", ARRAYFORMULA(""- ""&amp;TEXTJOIN(char(10)&amp;""- "", TRUE, FILTER(J$1:N$1&amp;"": ""&amp;J24:N24, NOT(ISBLANK(J24:N24))))))"),"- Finn: unsure")</f>
        <v>- Finn: unsure</v>
      </c>
      <c r="P24" s="43" t="s">
        <v>428</v>
      </c>
      <c r="Q24" s="45" t="b">
        <v>1</v>
      </c>
    </row>
    <row r="25">
      <c r="A25" s="34" t="s">
        <v>155</v>
      </c>
      <c r="B25" s="34" t="s">
        <v>156</v>
      </c>
      <c r="C25" s="46"/>
      <c r="D25" s="42" t="b">
        <f t="shared" ref="D25:H25" si="48">VLOOKUP($A25, INDIRECT(D$1&amp;"!A:C"), 3, FALSE)</f>
        <v>0</v>
      </c>
      <c r="E25" s="42" t="str">
        <f t="shared" si="48"/>
        <v>TO DO</v>
      </c>
      <c r="F25" s="42" t="str">
        <f t="shared" si="48"/>
        <v>TO DO</v>
      </c>
      <c r="G25" s="42" t="b">
        <f t="shared" si="48"/>
        <v>0</v>
      </c>
      <c r="H25" s="42" t="b">
        <f t="shared" si="48"/>
        <v>0</v>
      </c>
      <c r="I25" s="43">
        <f t="shared" si="4"/>
        <v>1</v>
      </c>
      <c r="J25" s="44" t="str">
        <f t="shared" ref="J25:N25" si="49">VLOOKUP($A25, INDIRECT(J$1&amp;"!A:D"), 4, FALSE)</f>
        <v/>
      </c>
      <c r="K25" s="44" t="str">
        <f t="shared" si="49"/>
        <v/>
      </c>
      <c r="L25" s="44" t="str">
        <f t="shared" si="49"/>
        <v/>
      </c>
      <c r="M25" s="44" t="str">
        <f t="shared" si="49"/>
        <v>about schools but not leraning</v>
      </c>
      <c r="N25" s="44" t="str">
        <f t="shared" si="49"/>
        <v>Not sure, rather vague and no explicit link to SDG 4 or its objectives</v>
      </c>
      <c r="O25" s="43" t="str">
        <f>IFERROR(__xludf.DUMMYFUNCTION("IF(COUNTA(J25:N25)=0, """", ARRAYFORMULA(""- ""&amp;TEXTJOIN(char(10)&amp;""- "", TRUE, FILTER(J$1:N$1&amp;"": ""&amp;J25:N25, NOT(ISBLANK(J25:N25))))))"),"- Meike: about schools but not leraning
- Steve: Not sure, rather vague and no explicit link to SDG 4 or its objectives")</f>
        <v>- Meike: about schools but not leraning
- Steve: Not sure, rather vague and no explicit link to SDG 4 or its objectives</v>
      </c>
      <c r="P25" s="43" t="s">
        <v>429</v>
      </c>
      <c r="Q25" s="45" t="b">
        <v>0</v>
      </c>
    </row>
    <row r="26">
      <c r="A26" s="34" t="s">
        <v>173</v>
      </c>
      <c r="B26" s="34" t="s">
        <v>174</v>
      </c>
      <c r="C26" s="7"/>
      <c r="D26" s="42" t="b">
        <f t="shared" ref="D26:H26" si="50">VLOOKUP($A26, INDIRECT(D$1&amp;"!A:C"), 3, FALSE)</f>
        <v>1</v>
      </c>
      <c r="E26" s="42" t="str">
        <f t="shared" si="50"/>
        <v>TO DO</v>
      </c>
      <c r="F26" s="42" t="str">
        <f t="shared" si="50"/>
        <v>TO DO</v>
      </c>
      <c r="G26" s="42" t="b">
        <f t="shared" si="50"/>
        <v>1</v>
      </c>
      <c r="H26" s="42" t="b">
        <f t="shared" si="50"/>
        <v>1</v>
      </c>
      <c r="I26" s="43">
        <f t="shared" si="4"/>
        <v>1</v>
      </c>
      <c r="J26" s="44" t="str">
        <f t="shared" ref="J26:N26" si="51">VLOOKUP($A26, INDIRECT(J$1&amp;"!A:D"), 4, FALSE)</f>
        <v/>
      </c>
      <c r="K26" s="44" t="str">
        <f t="shared" si="51"/>
        <v/>
      </c>
      <c r="L26" s="44" t="str">
        <f t="shared" si="51"/>
        <v/>
      </c>
      <c r="M26" s="44" t="str">
        <f t="shared" si="51"/>
        <v/>
      </c>
      <c r="N26" s="44" t="str">
        <f t="shared" si="51"/>
        <v/>
      </c>
      <c r="O26" s="43" t="str">
        <f>IFERROR(__xludf.DUMMYFUNCTION("IF(COUNTA(J26:N26)=0, """", ARRAYFORMULA(""- ""&amp;TEXTJOIN(char(10)&amp;""- "", TRUE, FILTER(J$1:N$1&amp;"": ""&amp;J26:N26, NOT(ISBLANK(J26:N26))))))"),"")</f>
        <v/>
      </c>
      <c r="P26" s="43" t="s">
        <v>420</v>
      </c>
      <c r="Q26" s="45" t="b">
        <v>1</v>
      </c>
    </row>
    <row r="27">
      <c r="A27" s="34" t="s">
        <v>193</v>
      </c>
      <c r="B27" s="34" t="s">
        <v>194</v>
      </c>
      <c r="C27" s="42"/>
      <c r="D27" s="42" t="b">
        <f t="shared" ref="D27:H27" si="52">VLOOKUP($A27, INDIRECT(D$1&amp;"!A:C"), 3, FALSE)</f>
        <v>1</v>
      </c>
      <c r="E27" s="42" t="str">
        <f t="shared" si="52"/>
        <v>TO DO</v>
      </c>
      <c r="F27" s="42" t="str">
        <f t="shared" si="52"/>
        <v>TO DO</v>
      </c>
      <c r="G27" s="42" t="b">
        <f t="shared" si="52"/>
        <v>1</v>
      </c>
      <c r="H27" s="42" t="b">
        <f t="shared" si="52"/>
        <v>1</v>
      </c>
      <c r="I27" s="43">
        <f t="shared" si="4"/>
        <v>1</v>
      </c>
      <c r="J27" s="44" t="str">
        <f t="shared" ref="J27:N27" si="53">VLOOKUP($A27, INDIRECT(J$1&amp;"!A:D"), 4, FALSE)</f>
        <v/>
      </c>
      <c r="K27" s="44" t="str">
        <f t="shared" si="53"/>
        <v/>
      </c>
      <c r="L27" s="44" t="str">
        <f t="shared" si="53"/>
        <v/>
      </c>
      <c r="M27" s="44" t="str">
        <f t="shared" si="53"/>
        <v/>
      </c>
      <c r="N27" s="44" t="str">
        <f t="shared" si="53"/>
        <v/>
      </c>
      <c r="O27" s="43" t="str">
        <f>IFERROR(__xludf.DUMMYFUNCTION("IF(COUNTA(J27:N27)=0, """", ARRAYFORMULA(""- ""&amp;TEXTJOIN(char(10)&amp;""- "", TRUE, FILTER(J$1:N$1&amp;"": ""&amp;J27:N27, NOT(ISBLANK(J27:N27))))))"),"")</f>
        <v/>
      </c>
      <c r="P27" s="43" t="s">
        <v>420</v>
      </c>
      <c r="Q27" s="45" t="b">
        <v>1</v>
      </c>
    </row>
    <row r="28">
      <c r="A28" s="34" t="s">
        <v>153</v>
      </c>
      <c r="B28" s="34" t="s">
        <v>154</v>
      </c>
      <c r="C28" s="46"/>
      <c r="D28" s="42" t="b">
        <f t="shared" ref="D28:H28" si="54">VLOOKUP($A28, INDIRECT(D$1&amp;"!A:C"), 3, FALSE)</f>
        <v>0</v>
      </c>
      <c r="E28" s="42" t="str">
        <f t="shared" si="54"/>
        <v>TO DO</v>
      </c>
      <c r="F28" s="42" t="str">
        <f t="shared" si="54"/>
        <v>TO DO</v>
      </c>
      <c r="G28" s="42" t="b">
        <f t="shared" si="54"/>
        <v>0</v>
      </c>
      <c r="H28" s="42" t="b">
        <f t="shared" si="54"/>
        <v>0</v>
      </c>
      <c r="I28" s="43">
        <f t="shared" si="4"/>
        <v>1</v>
      </c>
      <c r="J28" s="44" t="str">
        <f t="shared" ref="J28:N28" si="55">VLOOKUP($A28, INDIRECT(J$1&amp;"!A:D"), 4, FALSE)</f>
        <v/>
      </c>
      <c r="K28" s="44" t="str">
        <f t="shared" si="55"/>
        <v/>
      </c>
      <c r="L28" s="44" t="str">
        <f t="shared" si="55"/>
        <v/>
      </c>
      <c r="M28" s="44" t="str">
        <f t="shared" si="55"/>
        <v/>
      </c>
      <c r="N28" s="44" t="str">
        <f t="shared" si="55"/>
        <v/>
      </c>
      <c r="O28" s="43" t="str">
        <f>IFERROR(__xludf.DUMMYFUNCTION("IF(COUNTA(J28:N28)=0, """", ARRAYFORMULA(""- ""&amp;TEXTJOIN(char(10)&amp;""- "", TRUE, FILTER(J$1:N$1&amp;"": ""&amp;J28:N28, NOT(ISBLANK(J28:N28))))))"),"")</f>
        <v/>
      </c>
      <c r="P28" s="43" t="s">
        <v>420</v>
      </c>
      <c r="Q28" s="45" t="b">
        <v>0</v>
      </c>
    </row>
    <row r="29">
      <c r="A29" s="34" t="s">
        <v>215</v>
      </c>
      <c r="B29" s="34" t="s">
        <v>216</v>
      </c>
      <c r="C29" s="46"/>
      <c r="D29" s="42" t="b">
        <f t="shared" ref="D29:H29" si="56">VLOOKUP($A29, INDIRECT(D$1&amp;"!A:C"), 3, FALSE)</f>
        <v>0</v>
      </c>
      <c r="E29" s="42" t="str">
        <f t="shared" si="56"/>
        <v>TO DO</v>
      </c>
      <c r="F29" s="42" t="str">
        <f t="shared" si="56"/>
        <v>TO DO</v>
      </c>
      <c r="G29" s="42" t="b">
        <f t="shared" si="56"/>
        <v>0</v>
      </c>
      <c r="H29" s="42" t="b">
        <f t="shared" si="56"/>
        <v>0</v>
      </c>
      <c r="I29" s="43">
        <f t="shared" si="4"/>
        <v>1</v>
      </c>
      <c r="J29" s="44" t="str">
        <f t="shared" ref="J29:N29" si="57">VLOOKUP($A29, INDIRECT(J$1&amp;"!A:D"), 4, FALSE)</f>
        <v/>
      </c>
      <c r="K29" s="44" t="str">
        <f t="shared" si="57"/>
        <v/>
      </c>
      <c r="L29" s="44" t="str">
        <f t="shared" si="57"/>
        <v/>
      </c>
      <c r="M29" s="44" t="str">
        <f t="shared" si="57"/>
        <v/>
      </c>
      <c r="N29" s="44" t="str">
        <f t="shared" si="57"/>
        <v/>
      </c>
      <c r="O29" s="43" t="str">
        <f>IFERROR(__xludf.DUMMYFUNCTION("IF(COUNTA(J29:N29)=0, """", ARRAYFORMULA(""- ""&amp;TEXTJOIN(char(10)&amp;""- "", TRUE, FILTER(J$1:N$1&amp;"": ""&amp;J29:N29, NOT(ISBLANK(J29:N29))))))"),"")</f>
        <v/>
      </c>
      <c r="P29" s="43" t="s">
        <v>420</v>
      </c>
      <c r="Q29" s="45" t="b">
        <v>0</v>
      </c>
    </row>
    <row r="30">
      <c r="A30" s="34" t="s">
        <v>247</v>
      </c>
      <c r="B30" s="34" t="s">
        <v>248</v>
      </c>
      <c r="C30" s="7"/>
      <c r="D30" s="42" t="b">
        <f t="shared" ref="D30:H30" si="58">VLOOKUP($A30, INDIRECT(D$1&amp;"!A:C"), 3, FALSE)</f>
        <v>0</v>
      </c>
      <c r="E30" s="42" t="str">
        <f t="shared" si="58"/>
        <v>TO DO</v>
      </c>
      <c r="F30" s="42" t="str">
        <f t="shared" si="58"/>
        <v>TO DO</v>
      </c>
      <c r="G30" s="42" t="b">
        <f t="shared" si="58"/>
        <v>0</v>
      </c>
      <c r="H30" s="42" t="b">
        <f t="shared" si="58"/>
        <v>0</v>
      </c>
      <c r="I30" s="43">
        <f t="shared" si="4"/>
        <v>1</v>
      </c>
      <c r="J30" s="44" t="str">
        <f t="shared" ref="J30:N30" si="59">VLOOKUP($A30, INDIRECT(J$1&amp;"!A:D"), 4, FALSE)</f>
        <v/>
      </c>
      <c r="K30" s="44" t="str">
        <f t="shared" si="59"/>
        <v/>
      </c>
      <c r="L30" s="44" t="str">
        <f t="shared" si="59"/>
        <v/>
      </c>
      <c r="M30" s="44" t="str">
        <f t="shared" si="59"/>
        <v/>
      </c>
      <c r="N30" s="44" t="str">
        <f t="shared" si="59"/>
        <v/>
      </c>
      <c r="O30" s="43" t="str">
        <f>IFERROR(__xludf.DUMMYFUNCTION("IF(COUNTA(J30:N30)=0, """", ARRAYFORMULA(""- ""&amp;TEXTJOIN(char(10)&amp;""- "", TRUE, FILTER(J$1:N$1&amp;"": ""&amp;J30:N30, NOT(ISBLANK(J30:N30))))))"),"")</f>
        <v/>
      </c>
      <c r="P30" s="43" t="s">
        <v>420</v>
      </c>
      <c r="Q30" s="45" t="b">
        <v>0</v>
      </c>
    </row>
    <row r="31">
      <c r="A31" s="34" t="s">
        <v>209</v>
      </c>
      <c r="B31" s="34" t="s">
        <v>210</v>
      </c>
      <c r="C31" s="42"/>
      <c r="D31" s="42" t="b">
        <f t="shared" ref="D31:H31" si="60">VLOOKUP($A31, INDIRECT(D$1&amp;"!A:C"), 3, FALSE)</f>
        <v>0</v>
      </c>
      <c r="E31" s="42" t="str">
        <f t="shared" si="60"/>
        <v>TO DO</v>
      </c>
      <c r="F31" s="42" t="str">
        <f t="shared" si="60"/>
        <v>TO DO</v>
      </c>
      <c r="G31" s="42" t="b">
        <f t="shared" si="60"/>
        <v>0</v>
      </c>
      <c r="H31" s="42" t="b">
        <f t="shared" si="60"/>
        <v>0</v>
      </c>
      <c r="I31" s="43">
        <f t="shared" si="4"/>
        <v>1</v>
      </c>
      <c r="J31" s="44" t="str">
        <f t="shared" ref="J31:N31" si="61">VLOOKUP($A31, INDIRECT(J$1&amp;"!A:D"), 4, FALSE)</f>
        <v/>
      </c>
      <c r="K31" s="44" t="str">
        <f t="shared" si="61"/>
        <v/>
      </c>
      <c r="L31" s="44" t="str">
        <f t="shared" si="61"/>
        <v/>
      </c>
      <c r="M31" s="44" t="str">
        <f t="shared" si="61"/>
        <v/>
      </c>
      <c r="N31" s="44" t="str">
        <f t="shared" si="61"/>
        <v>though NEET link not specifically linked to SDG 4</v>
      </c>
      <c r="O31" s="43" t="str">
        <f>IFERROR(__xludf.DUMMYFUNCTION("IF(COUNTA(J31:N31)=0, """", ARRAYFORMULA(""- ""&amp;TEXTJOIN(char(10)&amp;""- "", TRUE, FILTER(J$1:N$1&amp;"": ""&amp;J31:N31, NOT(ISBLANK(J31:N31))))))"),"- Steve: though NEET link not specifically linked to SDG 4")</f>
        <v>- Steve: though NEET link not specifically linked to SDG 4</v>
      </c>
      <c r="P31" s="43" t="s">
        <v>430</v>
      </c>
      <c r="Q31" s="45" t="b">
        <v>0</v>
      </c>
    </row>
    <row r="32" hidden="1">
      <c r="A32" s="34" t="s">
        <v>126</v>
      </c>
      <c r="B32" s="34" t="s">
        <v>127</v>
      </c>
      <c r="C32" s="47" t="s">
        <v>342</v>
      </c>
      <c r="D32" s="42" t="b">
        <f t="shared" ref="D32:H32" si="62">VLOOKUP($A32, INDIRECT(D$1&amp;"!A:C"), 3, FALSE)</f>
        <v>0</v>
      </c>
      <c r="E32" s="42" t="str">
        <f t="shared" si="62"/>
        <v>TO DO</v>
      </c>
      <c r="F32" s="42" t="str">
        <f t="shared" si="62"/>
        <v>TO DO</v>
      </c>
      <c r="G32" s="42" t="b">
        <f t="shared" si="62"/>
        <v>1</v>
      </c>
      <c r="H32" s="42" t="b">
        <f t="shared" si="62"/>
        <v>0</v>
      </c>
      <c r="I32" s="43">
        <f t="shared" si="4"/>
        <v>0.3333333333</v>
      </c>
      <c r="J32" s="44" t="str">
        <f t="shared" ref="J32:N32" si="63">VLOOKUP($A32, INDIRECT(J$1&amp;"!A:D"), 4, FALSE)</f>
        <v/>
      </c>
      <c r="K32" s="44" t="str">
        <f t="shared" si="63"/>
        <v/>
      </c>
      <c r="L32" s="44" t="str">
        <f t="shared" si="63"/>
        <v/>
      </c>
      <c r="M32" s="44" t="str">
        <f t="shared" si="63"/>
        <v/>
      </c>
      <c r="N32" s="44" t="str">
        <f t="shared" si="63"/>
        <v>no explicit link to SDG 4 objectives</v>
      </c>
      <c r="O32" s="43" t="str">
        <f>IFERROR(__xludf.DUMMYFUNCTION("IF(COUNTA(J32:N32)=0, """", ARRAYFORMULA(""- ""&amp;TEXTJOIN(char(10)&amp;""- "", TRUE, FILTER(J$1:N$1&amp;"": ""&amp;J32:N32, NOT(ISBLANK(J32:N32))))))"),"- Steve: no explicit link to SDG 4 objectives")</f>
        <v>- Steve: no explicit link to SDG 4 objectives</v>
      </c>
      <c r="P32" s="43" t="s">
        <v>431</v>
      </c>
      <c r="Q32" s="45" t="s">
        <v>376</v>
      </c>
    </row>
    <row r="33" hidden="1">
      <c r="A33" s="34" t="s">
        <v>266</v>
      </c>
      <c r="B33" s="34" t="s">
        <v>267</v>
      </c>
      <c r="C33" s="7" t="s">
        <v>421</v>
      </c>
      <c r="D33" s="42" t="str">
        <f t="shared" ref="D33:H33" si="64">VLOOKUP($A33, INDIRECT(D$1&amp;"!A:C"), 3, FALSE)</f>
        <v>SKIP</v>
      </c>
      <c r="E33" s="42" t="str">
        <f t="shared" si="64"/>
        <v>TO DO</v>
      </c>
      <c r="F33" s="42" t="str">
        <f t="shared" si="64"/>
        <v>TO DO</v>
      </c>
      <c r="G33" s="42" t="b">
        <f t="shared" si="64"/>
        <v>0</v>
      </c>
      <c r="H33" s="42" t="b">
        <f t="shared" si="64"/>
        <v>1</v>
      </c>
      <c r="I33" s="43">
        <f t="shared" si="4"/>
        <v>0</v>
      </c>
      <c r="J33" s="44" t="str">
        <f t="shared" ref="J33:N33" si="65">VLOOKUP($A33, INDIRECT(J$1&amp;"!A:D"), 4, FALSE)</f>
        <v/>
      </c>
      <c r="K33" s="44" t="str">
        <f t="shared" si="65"/>
        <v/>
      </c>
      <c r="L33" s="44" t="str">
        <f t="shared" si="65"/>
        <v/>
      </c>
      <c r="M33" s="44" t="str">
        <f t="shared" si="65"/>
        <v/>
      </c>
      <c r="N33" s="44" t="str">
        <f t="shared" si="65"/>
        <v>skills development</v>
      </c>
      <c r="O33" s="43" t="str">
        <f>IFERROR(__xludf.DUMMYFUNCTION("IF(COUNTA(J33:N33)=0, """", ARRAYFORMULA(""- ""&amp;TEXTJOIN(char(10)&amp;""- "", TRUE, FILTER(J$1:N$1&amp;"": ""&amp;J33:N33, NOT(ISBLANK(J33:N33))))))"),"- Steve: skills development")</f>
        <v>- Steve: skills development</v>
      </c>
      <c r="P33" s="43" t="s">
        <v>432</v>
      </c>
      <c r="Q33" s="45" t="s">
        <v>376</v>
      </c>
    </row>
    <row r="34">
      <c r="A34" s="34" t="s">
        <v>206</v>
      </c>
      <c r="B34" s="34" t="s">
        <v>207</v>
      </c>
      <c r="C34" s="46"/>
      <c r="D34" s="42" t="b">
        <f t="shared" ref="D34:H34" si="66">VLOOKUP($A34, INDIRECT(D$1&amp;"!A:C"), 3, FALSE)</f>
        <v>1</v>
      </c>
      <c r="E34" s="42" t="str">
        <f t="shared" si="66"/>
        <v>TO DO</v>
      </c>
      <c r="F34" s="42" t="str">
        <f t="shared" si="66"/>
        <v>TO DO</v>
      </c>
      <c r="G34" s="42" t="b">
        <f t="shared" si="66"/>
        <v>1</v>
      </c>
      <c r="H34" s="42" t="b">
        <f t="shared" si="66"/>
        <v>1</v>
      </c>
      <c r="I34" s="43">
        <f t="shared" si="4"/>
        <v>1</v>
      </c>
      <c r="J34" s="44" t="str">
        <f t="shared" ref="J34:N34" si="67">VLOOKUP($A34, INDIRECT(J$1&amp;"!A:D"), 4, FALSE)</f>
        <v>VET = Vocational education and training initiatives</v>
      </c>
      <c r="K34" s="44" t="str">
        <f t="shared" si="67"/>
        <v/>
      </c>
      <c r="L34" s="44" t="str">
        <f t="shared" si="67"/>
        <v/>
      </c>
      <c r="M34" s="44" t="str">
        <f t="shared" si="67"/>
        <v/>
      </c>
      <c r="N34" s="44" t="str">
        <f t="shared" si="67"/>
        <v>on VET</v>
      </c>
      <c r="O34" s="43" t="str">
        <f>IFERROR(__xludf.DUMMYFUNCTION("IF(COUNTA(J34:N34)=0, """", ARRAYFORMULA(""- ""&amp;TEXTJOIN(char(10)&amp;""- "", TRUE, FILTER(J$1:N$1&amp;"": ""&amp;J34:N34, NOT(ISBLANK(J34:N34))))))"),"- Finn: VET = Vocational education and training initiatives
- Steve: on VET")</f>
        <v>- Finn: VET = Vocational education and training initiatives
- Steve: on VET</v>
      </c>
      <c r="P34" s="43" t="s">
        <v>433</v>
      </c>
      <c r="Q34" s="45" t="b">
        <v>1</v>
      </c>
    </row>
    <row r="35" hidden="1">
      <c r="A35" s="34" t="s">
        <v>83</v>
      </c>
      <c r="B35" s="34" t="s">
        <v>84</v>
      </c>
      <c r="C35" s="7" t="s">
        <v>332</v>
      </c>
      <c r="D35" s="42" t="b">
        <f t="shared" ref="D35:H35" si="68">VLOOKUP($A35, INDIRECT(D$1&amp;"!A:C"), 3, FALSE)</f>
        <v>0</v>
      </c>
      <c r="E35" s="42" t="str">
        <f t="shared" si="68"/>
        <v>TO DO</v>
      </c>
      <c r="F35" s="42" t="str">
        <f t="shared" si="68"/>
        <v>TO DO</v>
      </c>
      <c r="G35" s="42" t="b">
        <f t="shared" si="68"/>
        <v>1</v>
      </c>
      <c r="H35" s="42" t="b">
        <f t="shared" si="68"/>
        <v>0</v>
      </c>
      <c r="I35" s="43">
        <f t="shared" si="4"/>
        <v>0.3333333333</v>
      </c>
      <c r="J35" s="44" t="str">
        <f t="shared" ref="J35:N35" si="69">VLOOKUP($A35, INDIRECT(J$1&amp;"!A:D"), 4, FALSE)</f>
        <v/>
      </c>
      <c r="K35" s="44" t="str">
        <f t="shared" si="69"/>
        <v/>
      </c>
      <c r="L35" s="44" t="str">
        <f t="shared" si="69"/>
        <v/>
      </c>
      <c r="M35" s="44" t="str">
        <f t="shared" si="69"/>
        <v>doubtful: is maritime education meant for educating indigenous people, to provide equal access or is it about the ocean</v>
      </c>
      <c r="N35" s="44" t="str">
        <f t="shared" si="69"/>
        <v/>
      </c>
      <c r="O35" s="43" t="str">
        <f>IFERROR(__xludf.DUMMYFUNCTION("IF(COUNTA(J35:N35)=0, """", ARRAYFORMULA(""- ""&amp;TEXTJOIN(char(10)&amp;""- "", TRUE, FILTER(J$1:N$1&amp;"": ""&amp;J35:N35, NOT(ISBLANK(J35:N35))))))"),"- Meike: doubtful: is maritime education meant for educating indigenous people, to provide equal access or is it about the ocean")</f>
        <v>- Meike: doubtful: is maritime education meant for educating indigenous people, to provide equal access or is it about the ocean</v>
      </c>
      <c r="P35" s="43" t="s">
        <v>434</v>
      </c>
      <c r="Q35" s="45" t="s">
        <v>376</v>
      </c>
    </row>
    <row r="36">
      <c r="A36" s="34" t="s">
        <v>245</v>
      </c>
      <c r="B36" s="34" t="s">
        <v>246</v>
      </c>
      <c r="C36" s="42"/>
      <c r="D36" s="42" t="b">
        <f t="shared" ref="D36:H36" si="70">VLOOKUP($A36, INDIRECT(D$1&amp;"!A:C"), 3, FALSE)</f>
        <v>1</v>
      </c>
      <c r="E36" s="42" t="str">
        <f t="shared" si="70"/>
        <v>TO DO</v>
      </c>
      <c r="F36" s="42" t="str">
        <f t="shared" si="70"/>
        <v>TO DO</v>
      </c>
      <c r="G36" s="42" t="b">
        <f t="shared" si="70"/>
        <v>1</v>
      </c>
      <c r="H36" s="42" t="b">
        <f t="shared" si="70"/>
        <v>1</v>
      </c>
      <c r="I36" s="43">
        <f t="shared" si="4"/>
        <v>1</v>
      </c>
      <c r="J36" s="44" t="str">
        <f t="shared" ref="J36:N36" si="71">VLOOKUP($A36, INDIRECT(J$1&amp;"!A:D"), 4, FALSE)</f>
        <v/>
      </c>
      <c r="K36" s="44" t="str">
        <f t="shared" si="71"/>
        <v/>
      </c>
      <c r="L36" s="44" t="str">
        <f t="shared" si="71"/>
        <v/>
      </c>
      <c r="M36" s="44" t="str">
        <f t="shared" si="71"/>
        <v/>
      </c>
      <c r="N36" s="44" t="str">
        <f t="shared" si="71"/>
        <v/>
      </c>
      <c r="O36" s="43" t="str">
        <f>IFERROR(__xludf.DUMMYFUNCTION("IF(COUNTA(J36:N36)=0, """", ARRAYFORMULA(""- ""&amp;TEXTJOIN(char(10)&amp;""- "", TRUE, FILTER(J$1:N$1&amp;"": ""&amp;J36:N36, NOT(ISBLANK(J36:N36))))))"),"")</f>
        <v/>
      </c>
      <c r="P36" s="43" t="s">
        <v>420</v>
      </c>
      <c r="Q36" s="45" t="b">
        <v>1</v>
      </c>
    </row>
    <row r="37">
      <c r="A37" s="34" t="s">
        <v>147</v>
      </c>
      <c r="B37" s="34" t="s">
        <v>148</v>
      </c>
      <c r="C37" s="42"/>
      <c r="D37" s="42" t="b">
        <f t="shared" ref="D37:H37" si="72">VLOOKUP($A37, INDIRECT(D$1&amp;"!A:C"), 3, FALSE)</f>
        <v>0</v>
      </c>
      <c r="E37" s="42" t="str">
        <f t="shared" si="72"/>
        <v>TO DO</v>
      </c>
      <c r="F37" s="42" t="str">
        <f t="shared" si="72"/>
        <v>TO DO</v>
      </c>
      <c r="G37" s="42" t="b">
        <f t="shared" si="72"/>
        <v>0</v>
      </c>
      <c r="H37" s="42" t="b">
        <f t="shared" si="72"/>
        <v>0</v>
      </c>
      <c r="I37" s="43">
        <f t="shared" si="4"/>
        <v>1</v>
      </c>
      <c r="J37" s="44" t="str">
        <f t="shared" ref="J37:N37" si="73">VLOOKUP($A37, INDIRECT(J$1&amp;"!A:D"), 4, FALSE)</f>
        <v/>
      </c>
      <c r="K37" s="44" t="str">
        <f t="shared" si="73"/>
        <v/>
      </c>
      <c r="L37" s="44" t="str">
        <f t="shared" si="73"/>
        <v/>
      </c>
      <c r="M37" s="44" t="str">
        <f t="shared" si="73"/>
        <v/>
      </c>
      <c r="N37" s="44" t="str">
        <f t="shared" si="73"/>
        <v/>
      </c>
      <c r="O37" s="43" t="str">
        <f>IFERROR(__xludf.DUMMYFUNCTION("IF(COUNTA(J37:N37)=0, """", ARRAYFORMULA(""- ""&amp;TEXTJOIN(char(10)&amp;""- "", TRUE, FILTER(J$1:N$1&amp;"": ""&amp;J37:N37, NOT(ISBLANK(J37:N37))))))"),"")</f>
        <v/>
      </c>
      <c r="P37" s="43" t="s">
        <v>420</v>
      </c>
      <c r="Q37" s="45" t="b">
        <v>0</v>
      </c>
    </row>
    <row r="38">
      <c r="A38" s="34" t="s">
        <v>278</v>
      </c>
      <c r="B38" s="34" t="s">
        <v>279</v>
      </c>
      <c r="C38" s="7"/>
      <c r="D38" s="42" t="b">
        <f t="shared" ref="D38:H38" si="74">VLOOKUP($A38, INDIRECT(D$1&amp;"!A:C"), 3, FALSE)</f>
        <v>0</v>
      </c>
      <c r="E38" s="42" t="str">
        <f t="shared" si="74"/>
        <v>TO DO</v>
      </c>
      <c r="F38" s="42" t="str">
        <f t="shared" si="74"/>
        <v>TO DO</v>
      </c>
      <c r="G38" s="42" t="b">
        <f t="shared" si="74"/>
        <v>0</v>
      </c>
      <c r="H38" s="42" t="b">
        <f t="shared" si="74"/>
        <v>0</v>
      </c>
      <c r="I38" s="43">
        <f t="shared" si="4"/>
        <v>1</v>
      </c>
      <c r="J38" s="44" t="str">
        <f t="shared" ref="J38:N38" si="75">VLOOKUP($A38, INDIRECT(J$1&amp;"!A:D"), 4, FALSE)</f>
        <v/>
      </c>
      <c r="K38" s="44" t="str">
        <f t="shared" si="75"/>
        <v/>
      </c>
      <c r="L38" s="44" t="str">
        <f t="shared" si="75"/>
        <v/>
      </c>
      <c r="M38" s="44" t="str">
        <f t="shared" si="75"/>
        <v/>
      </c>
      <c r="N38" s="44" t="str">
        <f t="shared" si="75"/>
        <v/>
      </c>
      <c r="O38" s="43" t="str">
        <f>IFERROR(__xludf.DUMMYFUNCTION("IF(COUNTA(J38:N38)=0, """", ARRAYFORMULA(""- ""&amp;TEXTJOIN(char(10)&amp;""- "", TRUE, FILTER(J$1:N$1&amp;"": ""&amp;J38:N38, NOT(ISBLANK(J38:N38))))))"),"")</f>
        <v/>
      </c>
      <c r="P38" s="43" t="s">
        <v>420</v>
      </c>
      <c r="Q38" s="45" t="b">
        <v>0</v>
      </c>
    </row>
    <row r="39">
      <c r="A39" s="34" t="s">
        <v>191</v>
      </c>
      <c r="B39" s="34" t="s">
        <v>192</v>
      </c>
      <c r="C39" s="46"/>
      <c r="D39" s="42" t="b">
        <f t="shared" ref="D39:H39" si="76">VLOOKUP($A39, INDIRECT(D$1&amp;"!A:C"), 3, FALSE)</f>
        <v>0</v>
      </c>
      <c r="E39" s="42" t="str">
        <f t="shared" si="76"/>
        <v>TO DO</v>
      </c>
      <c r="F39" s="42" t="str">
        <f t="shared" si="76"/>
        <v>TO DO</v>
      </c>
      <c r="G39" s="42" t="b">
        <f t="shared" si="76"/>
        <v>0</v>
      </c>
      <c r="H39" s="42" t="b">
        <f t="shared" si="76"/>
        <v>0</v>
      </c>
      <c r="I39" s="43">
        <f t="shared" si="4"/>
        <v>1</v>
      </c>
      <c r="J39" s="44" t="str">
        <f t="shared" ref="J39:N39" si="77">VLOOKUP($A39, INDIRECT(J$1&amp;"!A:D"), 4, FALSE)</f>
        <v/>
      </c>
      <c r="K39" s="44" t="str">
        <f t="shared" si="77"/>
        <v/>
      </c>
      <c r="L39" s="44" t="str">
        <f t="shared" si="77"/>
        <v/>
      </c>
      <c r="M39" s="44" t="str">
        <f t="shared" si="77"/>
        <v/>
      </c>
      <c r="N39" s="44" t="str">
        <f t="shared" si="77"/>
        <v/>
      </c>
      <c r="O39" s="43" t="str">
        <f>IFERROR(__xludf.DUMMYFUNCTION("IF(COUNTA(J39:N39)=0, """", ARRAYFORMULA(""- ""&amp;TEXTJOIN(char(10)&amp;""- "", TRUE, FILTER(J$1:N$1&amp;"": ""&amp;J39:N39, NOT(ISBLANK(J39:N39))))))"),"")</f>
        <v/>
      </c>
      <c r="P39" s="43" t="s">
        <v>420</v>
      </c>
      <c r="Q39" s="45" t="b">
        <v>0</v>
      </c>
    </row>
    <row r="40">
      <c r="A40" s="34" t="s">
        <v>111</v>
      </c>
      <c r="B40" s="34" t="s">
        <v>112</v>
      </c>
      <c r="C40" s="42"/>
      <c r="D40" s="42" t="b">
        <f t="shared" ref="D40:H40" si="78">VLOOKUP($A40, INDIRECT(D$1&amp;"!A:C"), 3, FALSE)</f>
        <v>1</v>
      </c>
      <c r="E40" s="42" t="str">
        <f t="shared" si="78"/>
        <v>TO DO</v>
      </c>
      <c r="F40" s="42" t="str">
        <f t="shared" si="78"/>
        <v>TO DO</v>
      </c>
      <c r="G40" s="42" t="b">
        <f t="shared" si="78"/>
        <v>1</v>
      </c>
      <c r="H40" s="42" t="b">
        <f t="shared" si="78"/>
        <v>1</v>
      </c>
      <c r="I40" s="43">
        <f t="shared" si="4"/>
        <v>1</v>
      </c>
      <c r="J40" s="44" t="str">
        <f t="shared" ref="J40:N40" si="79">VLOOKUP($A40, INDIRECT(J$1&amp;"!A:D"), 4, FALSE)</f>
        <v>target 4.c</v>
      </c>
      <c r="K40" s="44" t="str">
        <f t="shared" si="79"/>
        <v/>
      </c>
      <c r="L40" s="44" t="str">
        <f t="shared" si="79"/>
        <v/>
      </c>
      <c r="M40" s="44" t="str">
        <f t="shared" si="79"/>
        <v/>
      </c>
      <c r="N40" s="44" t="str">
        <f t="shared" si="79"/>
        <v/>
      </c>
      <c r="O40" s="43" t="str">
        <f>IFERROR(__xludf.DUMMYFUNCTION("IF(COUNTA(J40:N40)=0, """", ARRAYFORMULA(""- ""&amp;TEXTJOIN(char(10)&amp;""- "", TRUE, FILTER(J$1:N$1&amp;"": ""&amp;J40:N40, NOT(ISBLANK(J40:N40))))))"),"- Finn: target 4.c")</f>
        <v>- Finn: target 4.c</v>
      </c>
      <c r="P40" s="43" t="s">
        <v>435</v>
      </c>
      <c r="Q40" s="45" t="b">
        <v>1</v>
      </c>
    </row>
    <row r="41">
      <c r="A41" s="34" t="s">
        <v>217</v>
      </c>
      <c r="B41" s="34" t="s">
        <v>218</v>
      </c>
      <c r="C41" s="7"/>
      <c r="D41" s="42" t="b">
        <f t="shared" ref="D41:H41" si="80">VLOOKUP($A41, INDIRECT(D$1&amp;"!A:C"), 3, FALSE)</f>
        <v>0</v>
      </c>
      <c r="E41" s="42" t="str">
        <f t="shared" si="80"/>
        <v>TO DO</v>
      </c>
      <c r="F41" s="42" t="str">
        <f t="shared" si="80"/>
        <v>TO DO</v>
      </c>
      <c r="G41" s="42" t="b">
        <f t="shared" si="80"/>
        <v>0</v>
      </c>
      <c r="H41" s="42" t="b">
        <f t="shared" si="80"/>
        <v>0</v>
      </c>
      <c r="I41" s="43">
        <f t="shared" si="4"/>
        <v>1</v>
      </c>
      <c r="J41" s="44" t="str">
        <f t="shared" ref="J41:N41" si="81">VLOOKUP($A41, INDIRECT(J$1&amp;"!A:D"), 4, FALSE)</f>
        <v/>
      </c>
      <c r="K41" s="44" t="str">
        <f t="shared" si="81"/>
        <v/>
      </c>
      <c r="L41" s="44" t="str">
        <f t="shared" si="81"/>
        <v/>
      </c>
      <c r="M41" s="44" t="str">
        <f t="shared" si="81"/>
        <v/>
      </c>
      <c r="N41" s="44" t="str">
        <f t="shared" si="81"/>
        <v/>
      </c>
      <c r="O41" s="43" t="str">
        <f>IFERROR(__xludf.DUMMYFUNCTION("IF(COUNTA(J41:N41)=0, """", ARRAYFORMULA(""- ""&amp;TEXTJOIN(char(10)&amp;""- "", TRUE, FILTER(J$1:N$1&amp;"": ""&amp;J41:N41, NOT(ISBLANK(J41:N41))))))"),"")</f>
        <v/>
      </c>
      <c r="P41" s="43" t="s">
        <v>420</v>
      </c>
      <c r="Q41" s="45" t="b">
        <v>0</v>
      </c>
    </row>
    <row r="42">
      <c r="A42" s="34" t="s">
        <v>189</v>
      </c>
      <c r="B42" s="34" t="s">
        <v>190</v>
      </c>
      <c r="C42" s="46"/>
      <c r="D42" s="42" t="b">
        <f t="shared" ref="D42:H42" si="82">VLOOKUP($A42, INDIRECT(D$1&amp;"!A:C"), 3, FALSE)</f>
        <v>1</v>
      </c>
      <c r="E42" s="42" t="str">
        <f t="shared" si="82"/>
        <v>TO DO</v>
      </c>
      <c r="F42" s="42" t="str">
        <f t="shared" si="82"/>
        <v>TO DO</v>
      </c>
      <c r="G42" s="42" t="b">
        <f t="shared" si="82"/>
        <v>1</v>
      </c>
      <c r="H42" s="42" t="b">
        <f t="shared" si="82"/>
        <v>1</v>
      </c>
      <c r="I42" s="43">
        <f t="shared" si="4"/>
        <v>1</v>
      </c>
      <c r="J42" s="44" t="str">
        <f t="shared" ref="J42:N42" si="83">VLOOKUP($A42, INDIRECT(J$1&amp;"!A:D"), 4, FALSE)</f>
        <v/>
      </c>
      <c r="K42" s="44" t="str">
        <f t="shared" si="83"/>
        <v/>
      </c>
      <c r="L42" s="44" t="str">
        <f t="shared" si="83"/>
        <v/>
      </c>
      <c r="M42" s="44" t="str">
        <f t="shared" si="83"/>
        <v>not sure how this contributes to a target, more overarching theme</v>
      </c>
      <c r="N42" s="44" t="str">
        <f t="shared" si="83"/>
        <v/>
      </c>
      <c r="O42" s="43" t="str">
        <f>IFERROR(__xludf.DUMMYFUNCTION("IF(COUNTA(J42:N42)=0, """", ARRAYFORMULA(""- ""&amp;TEXTJOIN(char(10)&amp;""- "", TRUE, FILTER(J$1:N$1&amp;"": ""&amp;J42:N42, NOT(ISBLANK(J42:N42))))))"),"- Meike: not sure how this contributes to a target, more overarching theme")</f>
        <v>- Meike: not sure how this contributes to a target, more overarching theme</v>
      </c>
      <c r="P42" s="43" t="s">
        <v>436</v>
      </c>
      <c r="Q42" s="45" t="b">
        <v>1</v>
      </c>
    </row>
    <row r="43">
      <c r="A43" s="34" t="s">
        <v>274</v>
      </c>
      <c r="B43" s="34" t="s">
        <v>275</v>
      </c>
      <c r="C43" s="46"/>
      <c r="D43" s="42" t="b">
        <f t="shared" ref="D43:H43" si="84">VLOOKUP($A43, INDIRECT(D$1&amp;"!A:C"), 3, FALSE)</f>
        <v>1</v>
      </c>
      <c r="E43" s="42" t="str">
        <f t="shared" si="84"/>
        <v>TO DO</v>
      </c>
      <c r="F43" s="42" t="str">
        <f t="shared" si="84"/>
        <v>TO DO</v>
      </c>
      <c r="G43" s="42" t="b">
        <f t="shared" si="84"/>
        <v>1</v>
      </c>
      <c r="H43" s="42" t="b">
        <f t="shared" si="84"/>
        <v>1</v>
      </c>
      <c r="I43" s="43">
        <f t="shared" si="4"/>
        <v>1</v>
      </c>
      <c r="J43" s="44" t="str">
        <f t="shared" ref="J43:N43" si="85">VLOOKUP($A43, INDIRECT(J$1&amp;"!A:D"), 4, FALSE)</f>
        <v/>
      </c>
      <c r="K43" s="44" t="str">
        <f t="shared" si="85"/>
        <v/>
      </c>
      <c r="L43" s="44" t="str">
        <f t="shared" si="85"/>
        <v/>
      </c>
      <c r="M43" s="44" t="str">
        <f t="shared" si="85"/>
        <v/>
      </c>
      <c r="N43" s="44" t="str">
        <f t="shared" si="85"/>
        <v/>
      </c>
      <c r="O43" s="43" t="str">
        <f>IFERROR(__xludf.DUMMYFUNCTION("IF(COUNTA(J43:N43)=0, """", ARRAYFORMULA(""- ""&amp;TEXTJOIN(char(10)&amp;""- "", TRUE, FILTER(J$1:N$1&amp;"": ""&amp;J43:N43, NOT(ISBLANK(J43:N43))))))"),"")</f>
        <v/>
      </c>
      <c r="P43" s="43" t="s">
        <v>420</v>
      </c>
      <c r="Q43" s="45" t="b">
        <v>1</v>
      </c>
    </row>
    <row r="44">
      <c r="A44" s="34" t="s">
        <v>169</v>
      </c>
      <c r="B44" s="34" t="s">
        <v>170</v>
      </c>
      <c r="C44" s="42"/>
      <c r="D44" s="42" t="b">
        <f t="shared" ref="D44:H44" si="86">VLOOKUP($A44, INDIRECT(D$1&amp;"!A:C"), 3, FALSE)</f>
        <v>0</v>
      </c>
      <c r="E44" s="42" t="str">
        <f t="shared" si="86"/>
        <v>TO DO</v>
      </c>
      <c r="F44" s="42" t="str">
        <f t="shared" si="86"/>
        <v>TO DO</v>
      </c>
      <c r="G44" s="42" t="b">
        <f t="shared" si="86"/>
        <v>0</v>
      </c>
      <c r="H44" s="42" t="b">
        <f t="shared" si="86"/>
        <v>0</v>
      </c>
      <c r="I44" s="43">
        <f t="shared" si="4"/>
        <v>1</v>
      </c>
      <c r="J44" s="44" t="str">
        <f t="shared" ref="J44:N44" si="87">VLOOKUP($A44, INDIRECT(J$1&amp;"!A:D"), 4, FALSE)</f>
        <v/>
      </c>
      <c r="K44" s="44" t="str">
        <f t="shared" si="87"/>
        <v/>
      </c>
      <c r="L44" s="44" t="str">
        <f t="shared" si="87"/>
        <v/>
      </c>
      <c r="M44" s="44" t="str">
        <f t="shared" si="87"/>
        <v/>
      </c>
      <c r="N44" s="44" t="str">
        <f t="shared" si="87"/>
        <v/>
      </c>
      <c r="O44" s="43" t="str">
        <f>IFERROR(__xludf.DUMMYFUNCTION("IF(COUNTA(J44:N44)=0, """", ARRAYFORMULA(""- ""&amp;TEXTJOIN(char(10)&amp;""- "", TRUE, FILTER(J$1:N$1&amp;"": ""&amp;J44:N44, NOT(ISBLANK(J44:N44))))))"),"")</f>
        <v/>
      </c>
      <c r="P44" s="43" t="s">
        <v>420</v>
      </c>
      <c r="Q44" s="45" t="b">
        <v>0</v>
      </c>
    </row>
    <row r="45" hidden="1">
      <c r="A45" s="34" t="s">
        <v>253</v>
      </c>
      <c r="B45" s="34" t="s">
        <v>254</v>
      </c>
      <c r="C45" s="47" t="s">
        <v>342</v>
      </c>
      <c r="D45" s="42" t="b">
        <f t="shared" ref="D45:H45" si="88">VLOOKUP($A45, INDIRECT(D$1&amp;"!A:C"), 3, FALSE)</f>
        <v>1</v>
      </c>
      <c r="E45" s="42" t="str">
        <f t="shared" si="88"/>
        <v>TO DO</v>
      </c>
      <c r="F45" s="42" t="str">
        <f t="shared" si="88"/>
        <v>TO DO</v>
      </c>
      <c r="G45" s="42" t="b">
        <f t="shared" si="88"/>
        <v>0</v>
      </c>
      <c r="H45" s="42" t="b">
        <f t="shared" si="88"/>
        <v>1</v>
      </c>
      <c r="I45" s="43">
        <f t="shared" si="4"/>
        <v>0.3333333333</v>
      </c>
      <c r="J45" s="44" t="str">
        <f t="shared" ref="J45:N45" si="89">VLOOKUP($A45, INDIRECT(J$1&amp;"!A:D"), 4, FALSE)</f>
        <v>last sentence: target 4.3/overarching</v>
      </c>
      <c r="K45" s="44" t="str">
        <f t="shared" si="89"/>
        <v/>
      </c>
      <c r="L45" s="44" t="str">
        <f t="shared" si="89"/>
        <v/>
      </c>
      <c r="M45" s="44" t="str">
        <f t="shared" si="89"/>
        <v>implicit about equality between genders, more about numbers of students</v>
      </c>
      <c r="N45" s="44">
        <f t="shared" si="89"/>
        <v>4.5</v>
      </c>
      <c r="O45" s="43" t="str">
        <f>IFERROR(__xludf.DUMMYFUNCTION("IF(COUNTA(J45:N45)=0, """", ARRAYFORMULA(""- ""&amp;TEXTJOIN(char(10)&amp;""- "", TRUE, FILTER(J$1:N$1&amp;"": ""&amp;J45:N45, NOT(ISBLANK(J45:N45))))))"),"- Finn: last sentence: target 4.3/overarching
- Meike: implicit about equality between genders, more about numbers of students
- Steve: 4.5")</f>
        <v>- Finn: last sentence: target 4.3/overarching
- Meike: implicit about equality between genders, more about numbers of students
- Steve: 4.5</v>
      </c>
      <c r="P45" s="43" t="s">
        <v>437</v>
      </c>
      <c r="Q45" s="45" t="s">
        <v>376</v>
      </c>
    </row>
    <row r="46">
      <c r="A46" s="34" t="s">
        <v>128</v>
      </c>
      <c r="B46" s="34" t="s">
        <v>129</v>
      </c>
      <c r="C46" s="46"/>
      <c r="D46" s="42" t="b">
        <f t="shared" ref="D46:H46" si="90">VLOOKUP($A46, INDIRECT(D$1&amp;"!A:C"), 3, FALSE)</f>
        <v>0</v>
      </c>
      <c r="E46" s="42" t="str">
        <f t="shared" si="90"/>
        <v>TO DO</v>
      </c>
      <c r="F46" s="42" t="str">
        <f t="shared" si="90"/>
        <v>TO DO</v>
      </c>
      <c r="G46" s="42" t="b">
        <f t="shared" si="90"/>
        <v>0</v>
      </c>
      <c r="H46" s="42" t="b">
        <f t="shared" si="90"/>
        <v>0</v>
      </c>
      <c r="I46" s="43">
        <f t="shared" si="4"/>
        <v>1</v>
      </c>
      <c r="J46" s="44" t="str">
        <f t="shared" ref="J46:N46" si="91">VLOOKUP($A46, INDIRECT(J$1&amp;"!A:D"), 4, FALSE)</f>
        <v/>
      </c>
      <c r="K46" s="44" t="str">
        <f t="shared" si="91"/>
        <v/>
      </c>
      <c r="L46" s="44" t="str">
        <f t="shared" si="91"/>
        <v/>
      </c>
      <c r="M46" s="44" t="str">
        <f t="shared" si="91"/>
        <v>about private vs subsidized education</v>
      </c>
      <c r="N46" s="44" t="str">
        <f t="shared" si="91"/>
        <v>no explicit link to SDG 4 objectives</v>
      </c>
      <c r="O46" s="43" t="str">
        <f>IFERROR(__xludf.DUMMYFUNCTION("IF(COUNTA(J46:N46)=0, """", ARRAYFORMULA(""- ""&amp;TEXTJOIN(char(10)&amp;""- "", TRUE, FILTER(J$1:N$1&amp;"": ""&amp;J46:N46, NOT(ISBLANK(J46:N46))))))"),"- Meike: about private vs subsidized education
- Steve: no explicit link to SDG 4 objectives")</f>
        <v>- Meike: about private vs subsidized education
- Steve: no explicit link to SDG 4 objectives</v>
      </c>
      <c r="P46" s="43" t="s">
        <v>438</v>
      </c>
      <c r="Q46" s="45" t="b">
        <v>0</v>
      </c>
    </row>
    <row r="47">
      <c r="A47" s="34" t="s">
        <v>95</v>
      </c>
      <c r="B47" s="34" t="s">
        <v>96</v>
      </c>
      <c r="C47" s="7"/>
      <c r="D47" s="42" t="b">
        <f t="shared" ref="D47:H47" si="92">VLOOKUP($A47, INDIRECT(D$1&amp;"!A:C"), 3, FALSE)</f>
        <v>0</v>
      </c>
      <c r="E47" s="42" t="str">
        <f t="shared" si="92"/>
        <v>TO DO</v>
      </c>
      <c r="F47" s="42" t="str">
        <f t="shared" si="92"/>
        <v>TO DO</v>
      </c>
      <c r="G47" s="42" t="b">
        <f t="shared" si="92"/>
        <v>0</v>
      </c>
      <c r="H47" s="42" t="b">
        <f t="shared" si="92"/>
        <v>0</v>
      </c>
      <c r="I47" s="43">
        <f t="shared" si="4"/>
        <v>1</v>
      </c>
      <c r="J47" s="44" t="str">
        <f t="shared" ref="J47:N47" si="93">VLOOKUP($A47, INDIRECT(J$1&amp;"!A:D"), 4, FALSE)</f>
        <v/>
      </c>
      <c r="K47" s="44" t="str">
        <f t="shared" si="93"/>
        <v/>
      </c>
      <c r="L47" s="44" t="str">
        <f t="shared" si="93"/>
        <v/>
      </c>
      <c r="M47" s="44" t="str">
        <f t="shared" si="93"/>
        <v/>
      </c>
      <c r="N47" s="44" t="str">
        <f t="shared" si="93"/>
        <v/>
      </c>
      <c r="O47" s="43" t="str">
        <f>IFERROR(__xludf.DUMMYFUNCTION("IF(COUNTA(J47:N47)=0, """", ARRAYFORMULA(""- ""&amp;TEXTJOIN(char(10)&amp;""- "", TRUE, FILTER(J$1:N$1&amp;"": ""&amp;J47:N47, NOT(ISBLANK(J47:N47))))))"),"")</f>
        <v/>
      </c>
      <c r="P47" s="43" t="s">
        <v>420</v>
      </c>
      <c r="Q47" s="45" t="b">
        <v>0</v>
      </c>
    </row>
    <row r="48" hidden="1">
      <c r="A48" s="34" t="s">
        <v>85</v>
      </c>
      <c r="B48" s="34" t="s">
        <v>86</v>
      </c>
      <c r="C48" s="7" t="s">
        <v>421</v>
      </c>
      <c r="D48" s="42" t="b">
        <f t="shared" ref="D48:H48" si="94">VLOOKUP($A48, INDIRECT(D$1&amp;"!A:C"), 3, FALSE)</f>
        <v>0</v>
      </c>
      <c r="E48" s="42" t="str">
        <f t="shared" si="94"/>
        <v>TO DO</v>
      </c>
      <c r="F48" s="42" t="str">
        <f t="shared" si="94"/>
        <v>TO DO</v>
      </c>
      <c r="G48" s="42" t="b">
        <f t="shared" si="94"/>
        <v>0</v>
      </c>
      <c r="H48" s="42" t="b">
        <f t="shared" si="94"/>
        <v>1</v>
      </c>
      <c r="I48" s="43">
        <f t="shared" si="4"/>
        <v>0.3333333333</v>
      </c>
      <c r="J48" s="44" t="str">
        <f t="shared" ref="J48:N48" si="95">VLOOKUP($A48, INDIRECT(J$1&amp;"!A:D"), 4, FALSE)</f>
        <v/>
      </c>
      <c r="K48" s="44" t="str">
        <f t="shared" si="95"/>
        <v/>
      </c>
      <c r="L48" s="44" t="str">
        <f t="shared" si="95"/>
        <v/>
      </c>
      <c r="M48" s="44" t="str">
        <f t="shared" si="95"/>
        <v/>
      </c>
      <c r="N48" s="44">
        <f t="shared" si="95"/>
        <v>4.4</v>
      </c>
      <c r="O48" s="43" t="str">
        <f>IFERROR(__xludf.DUMMYFUNCTION("IF(COUNTA(J48:N48)=0, """", ARRAYFORMULA(""- ""&amp;TEXTJOIN(char(10)&amp;""- "", TRUE, FILTER(J$1:N$1&amp;"": ""&amp;J48:N48, NOT(ISBLANK(J48:N48))))))"),"- Steve: 4.4")</f>
        <v>- Steve: 4.4</v>
      </c>
      <c r="P48" s="43" t="s">
        <v>439</v>
      </c>
      <c r="Q48" s="45" t="s">
        <v>376</v>
      </c>
    </row>
    <row r="49" hidden="1">
      <c r="A49" s="34" t="s">
        <v>260</v>
      </c>
      <c r="B49" s="34" t="s">
        <v>261</v>
      </c>
      <c r="C49" s="7" t="s">
        <v>332</v>
      </c>
      <c r="D49" s="42" t="b">
        <f t="shared" ref="D49:H49" si="96">VLOOKUP($A49, INDIRECT(D$1&amp;"!A:C"), 3, FALSE)</f>
        <v>1</v>
      </c>
      <c r="E49" s="42" t="str">
        <f t="shared" si="96"/>
        <v>TO DO</v>
      </c>
      <c r="F49" s="42" t="str">
        <f t="shared" si="96"/>
        <v>TO DO</v>
      </c>
      <c r="G49" s="42" t="b">
        <f t="shared" si="96"/>
        <v>0</v>
      </c>
      <c r="H49" s="42" t="b">
        <f t="shared" si="96"/>
        <v>0</v>
      </c>
      <c r="I49" s="43">
        <f t="shared" si="4"/>
        <v>0.3333333333</v>
      </c>
      <c r="J49" s="44" t="str">
        <f t="shared" ref="J49:N49" si="97">VLOOKUP($A49, INDIRECT(J$1&amp;"!A:D"), 4, FALSE)</f>
        <v>target 4.4 (weak)</v>
      </c>
      <c r="K49" s="44" t="str">
        <f t="shared" si="97"/>
        <v/>
      </c>
      <c r="L49" s="44" t="str">
        <f t="shared" si="97"/>
        <v/>
      </c>
      <c r="M49" s="44" t="str">
        <f t="shared" si="97"/>
        <v/>
      </c>
      <c r="N49" s="44" t="str">
        <f t="shared" si="97"/>
        <v/>
      </c>
      <c r="O49" s="43" t="str">
        <f>IFERROR(__xludf.DUMMYFUNCTION("IF(COUNTA(J49:N49)=0, """", ARRAYFORMULA(""- ""&amp;TEXTJOIN(char(10)&amp;""- "", TRUE, FILTER(J$1:N$1&amp;"": ""&amp;J49:N49, NOT(ISBLANK(J49:N49))))))"),"- Finn: target 4.4 (weak)")</f>
        <v>- Finn: target 4.4 (weak)</v>
      </c>
      <c r="P49" s="43" t="s">
        <v>440</v>
      </c>
      <c r="Q49" s="45" t="s">
        <v>376</v>
      </c>
    </row>
    <row r="50">
      <c r="A50" s="34" t="s">
        <v>251</v>
      </c>
      <c r="B50" s="34" t="s">
        <v>252</v>
      </c>
      <c r="C50" s="46"/>
      <c r="D50" s="42" t="b">
        <f t="shared" ref="D50:H50" si="98">VLOOKUP($A50, INDIRECT(D$1&amp;"!A:C"), 3, FALSE)</f>
        <v>0</v>
      </c>
      <c r="E50" s="42" t="str">
        <f t="shared" si="98"/>
        <v>TO DO</v>
      </c>
      <c r="F50" s="42" t="str">
        <f t="shared" si="98"/>
        <v>TO DO</v>
      </c>
      <c r="G50" s="42" t="b">
        <f t="shared" si="98"/>
        <v>0</v>
      </c>
      <c r="H50" s="42" t="b">
        <f t="shared" si="98"/>
        <v>0</v>
      </c>
      <c r="I50" s="43">
        <f t="shared" si="4"/>
        <v>1</v>
      </c>
      <c r="J50" s="44" t="str">
        <f t="shared" ref="J50:N50" si="99">VLOOKUP($A50, INDIRECT(J$1&amp;"!A:D"), 4, FALSE)</f>
        <v/>
      </c>
      <c r="K50" s="44" t="str">
        <f t="shared" si="99"/>
        <v/>
      </c>
      <c r="L50" s="44" t="str">
        <f t="shared" si="99"/>
        <v/>
      </c>
      <c r="M50" s="44" t="str">
        <f t="shared" si="99"/>
        <v/>
      </c>
      <c r="N50" s="44" t="str">
        <f t="shared" si="99"/>
        <v>on developing relevant skills, but quite weak link</v>
      </c>
      <c r="O50" s="43" t="str">
        <f>IFERROR(__xludf.DUMMYFUNCTION("IF(COUNTA(J50:N50)=0, """", ARRAYFORMULA(""- ""&amp;TEXTJOIN(char(10)&amp;""- "", TRUE, FILTER(J$1:N$1&amp;"": ""&amp;J50:N50, NOT(ISBLANK(J50:N50))))))"),"- Steve: on developing relevant skills, but quite weak link")</f>
        <v>- Steve: on developing relevant skills, but quite weak link</v>
      </c>
      <c r="P50" s="43" t="s">
        <v>441</v>
      </c>
      <c r="Q50" s="45" t="b">
        <v>0</v>
      </c>
    </row>
    <row r="51">
      <c r="A51" s="34" t="s">
        <v>180</v>
      </c>
      <c r="B51" s="34" t="s">
        <v>181</v>
      </c>
      <c r="C51" s="42"/>
      <c r="D51" s="42" t="b">
        <f t="shared" ref="D51:H51" si="100">VLOOKUP($A51, INDIRECT(D$1&amp;"!A:C"), 3, FALSE)</f>
        <v>1</v>
      </c>
      <c r="E51" s="42" t="str">
        <f t="shared" si="100"/>
        <v>TO DO</v>
      </c>
      <c r="F51" s="42" t="str">
        <f t="shared" si="100"/>
        <v>TO DO</v>
      </c>
      <c r="G51" s="42" t="b">
        <f t="shared" si="100"/>
        <v>1</v>
      </c>
      <c r="H51" s="42" t="b">
        <f t="shared" si="100"/>
        <v>1</v>
      </c>
      <c r="I51" s="43">
        <f t="shared" si="4"/>
        <v>1</v>
      </c>
      <c r="J51" s="44" t="str">
        <f t="shared" ref="J51:N51" si="101">VLOOKUP($A51, INDIRECT(J$1&amp;"!A:D"), 4, FALSE)</f>
        <v/>
      </c>
      <c r="K51" s="44" t="str">
        <f t="shared" si="101"/>
        <v/>
      </c>
      <c r="L51" s="44" t="str">
        <f t="shared" si="101"/>
        <v/>
      </c>
      <c r="M51" s="44" t="str">
        <f t="shared" si="101"/>
        <v/>
      </c>
      <c r="N51" s="44" t="str">
        <f t="shared" si="101"/>
        <v/>
      </c>
      <c r="O51" s="43" t="str">
        <f>IFERROR(__xludf.DUMMYFUNCTION("IF(COUNTA(J51:N51)=0, """", ARRAYFORMULA(""- ""&amp;TEXTJOIN(char(10)&amp;""- "", TRUE, FILTER(J$1:N$1&amp;"": ""&amp;J51:N51, NOT(ISBLANK(J51:N51))))))"),"")</f>
        <v/>
      </c>
      <c r="P51" s="43" t="s">
        <v>420</v>
      </c>
      <c r="Q51" s="45" t="b">
        <v>1</v>
      </c>
    </row>
    <row r="52">
      <c r="A52" s="34" t="s">
        <v>165</v>
      </c>
      <c r="B52" s="34" t="s">
        <v>166</v>
      </c>
      <c r="C52" s="46"/>
      <c r="D52" s="42" t="b">
        <f t="shared" ref="D52:H52" si="102">VLOOKUP($A52, INDIRECT(D$1&amp;"!A:C"), 3, FALSE)</f>
        <v>1</v>
      </c>
      <c r="E52" s="42" t="str">
        <f t="shared" si="102"/>
        <v>TO DO</v>
      </c>
      <c r="F52" s="42" t="str">
        <f t="shared" si="102"/>
        <v>TO DO</v>
      </c>
      <c r="G52" s="42" t="b">
        <f t="shared" si="102"/>
        <v>1</v>
      </c>
      <c r="H52" s="42" t="b">
        <f t="shared" si="102"/>
        <v>1</v>
      </c>
      <c r="I52" s="43">
        <f t="shared" si="4"/>
        <v>1</v>
      </c>
      <c r="J52" s="44" t="str">
        <f t="shared" ref="J52:N52" si="103">VLOOKUP($A52, INDIRECT(J$1&amp;"!A:D"), 4, FALSE)</f>
        <v/>
      </c>
      <c r="K52" s="44" t="str">
        <f t="shared" si="103"/>
        <v/>
      </c>
      <c r="L52" s="44" t="str">
        <f t="shared" si="103"/>
        <v/>
      </c>
      <c r="M52" s="44" t="str">
        <f t="shared" si="103"/>
        <v/>
      </c>
      <c r="N52" s="44" t="str">
        <f t="shared" si="103"/>
        <v/>
      </c>
      <c r="O52" s="43" t="str">
        <f>IFERROR(__xludf.DUMMYFUNCTION("IF(COUNTA(J52:N52)=0, """", ARRAYFORMULA(""- ""&amp;TEXTJOIN(char(10)&amp;""- "", TRUE, FILTER(J$1:N$1&amp;"": ""&amp;J52:N52, NOT(ISBLANK(J52:N52))))))"),"")</f>
        <v/>
      </c>
      <c r="P52" s="43" t="s">
        <v>420</v>
      </c>
      <c r="Q52" s="45" t="b">
        <v>1</v>
      </c>
    </row>
    <row r="53">
      <c r="A53" s="34" t="s">
        <v>249</v>
      </c>
      <c r="B53" s="34" t="s">
        <v>250</v>
      </c>
      <c r="C53" s="7"/>
      <c r="D53" s="42" t="b">
        <f t="shared" ref="D53:H53" si="104">VLOOKUP($A53, INDIRECT(D$1&amp;"!A:C"), 3, FALSE)</f>
        <v>0</v>
      </c>
      <c r="E53" s="42" t="str">
        <f t="shared" si="104"/>
        <v>TO DO</v>
      </c>
      <c r="F53" s="42" t="str">
        <f t="shared" si="104"/>
        <v>TO DO</v>
      </c>
      <c r="G53" s="42" t="b">
        <f t="shared" si="104"/>
        <v>0</v>
      </c>
      <c r="H53" s="42" t="b">
        <f t="shared" si="104"/>
        <v>0</v>
      </c>
      <c r="I53" s="43">
        <f t="shared" si="4"/>
        <v>1</v>
      </c>
      <c r="J53" s="44" t="str">
        <f t="shared" ref="J53:N53" si="105">VLOOKUP($A53, INDIRECT(J$1&amp;"!A:D"), 4, FALSE)</f>
        <v/>
      </c>
      <c r="K53" s="44" t="str">
        <f t="shared" si="105"/>
        <v/>
      </c>
      <c r="L53" s="44" t="str">
        <f t="shared" si="105"/>
        <v/>
      </c>
      <c r="M53" s="44" t="str">
        <f t="shared" si="105"/>
        <v/>
      </c>
      <c r="N53" s="44" t="str">
        <f t="shared" si="105"/>
        <v/>
      </c>
      <c r="O53" s="43" t="str">
        <f>IFERROR(__xludf.DUMMYFUNCTION("IF(COUNTA(J53:N53)=0, """", ARRAYFORMULA(""- ""&amp;TEXTJOIN(char(10)&amp;""- "", TRUE, FILTER(J$1:N$1&amp;"": ""&amp;J53:N53, NOT(ISBLANK(J53:N53))))))"),"")</f>
        <v/>
      </c>
      <c r="P53" s="43" t="s">
        <v>420</v>
      </c>
      <c r="Q53" s="45" t="b">
        <v>0</v>
      </c>
    </row>
    <row r="54">
      <c r="A54" s="34" t="s">
        <v>89</v>
      </c>
      <c r="B54" s="34" t="s">
        <v>90</v>
      </c>
      <c r="C54" s="46"/>
      <c r="D54" s="42" t="b">
        <f t="shared" ref="D54:H54" si="106">VLOOKUP($A54, INDIRECT(D$1&amp;"!A:C"), 3, FALSE)</f>
        <v>1</v>
      </c>
      <c r="E54" s="42" t="str">
        <f t="shared" si="106"/>
        <v>TO DO</v>
      </c>
      <c r="F54" s="42" t="str">
        <f t="shared" si="106"/>
        <v>TO DO</v>
      </c>
      <c r="G54" s="42" t="b">
        <f t="shared" si="106"/>
        <v>1</v>
      </c>
      <c r="H54" s="42" t="b">
        <f t="shared" si="106"/>
        <v>1</v>
      </c>
      <c r="I54" s="43">
        <f t="shared" si="4"/>
        <v>1</v>
      </c>
      <c r="J54" s="44" t="str">
        <f t="shared" ref="J54:N54" si="107">VLOOKUP($A54, INDIRECT(J$1&amp;"!A:D"), 4, FALSE)</f>
        <v/>
      </c>
      <c r="K54" s="44" t="str">
        <f t="shared" si="107"/>
        <v/>
      </c>
      <c r="L54" s="44" t="str">
        <f t="shared" si="107"/>
        <v/>
      </c>
      <c r="M54" s="44" t="str">
        <f t="shared" si="107"/>
        <v/>
      </c>
      <c r="N54" s="44" t="str">
        <f t="shared" si="107"/>
        <v/>
      </c>
      <c r="O54" s="43" t="str">
        <f>IFERROR(__xludf.DUMMYFUNCTION("IF(COUNTA(J54:N54)=0, """", ARRAYFORMULA(""- ""&amp;TEXTJOIN(char(10)&amp;""- "", TRUE, FILTER(J$1:N$1&amp;"": ""&amp;J54:N54, NOT(ISBLANK(J54:N54))))))"),"")</f>
        <v/>
      </c>
      <c r="P54" s="43" t="s">
        <v>420</v>
      </c>
      <c r="Q54" s="45" t="b">
        <v>1</v>
      </c>
    </row>
    <row r="55">
      <c r="A55" s="34" t="s">
        <v>233</v>
      </c>
      <c r="B55" s="34" t="s">
        <v>234</v>
      </c>
      <c r="C55" s="46"/>
      <c r="D55" s="42" t="b">
        <f t="shared" ref="D55:H55" si="108">VLOOKUP($A55, INDIRECT(D$1&amp;"!A:C"), 3, FALSE)</f>
        <v>1</v>
      </c>
      <c r="E55" s="42" t="str">
        <f t="shared" si="108"/>
        <v>TO DO</v>
      </c>
      <c r="F55" s="42" t="str">
        <f t="shared" si="108"/>
        <v>TO DO</v>
      </c>
      <c r="G55" s="42" t="b">
        <f t="shared" si="108"/>
        <v>1</v>
      </c>
      <c r="H55" s="42" t="b">
        <f t="shared" si="108"/>
        <v>1</v>
      </c>
      <c r="I55" s="43">
        <f t="shared" si="4"/>
        <v>1</v>
      </c>
      <c r="J55" s="44" t="str">
        <f t="shared" ref="J55:N55" si="109">VLOOKUP($A55, INDIRECT(J$1&amp;"!A:D"), 4, FALSE)</f>
        <v/>
      </c>
      <c r="K55" s="44" t="str">
        <f t="shared" si="109"/>
        <v/>
      </c>
      <c r="L55" s="44" t="str">
        <f t="shared" si="109"/>
        <v/>
      </c>
      <c r="M55" s="44" t="str">
        <f t="shared" si="109"/>
        <v/>
      </c>
      <c r="N55" s="44" t="str">
        <f t="shared" si="109"/>
        <v/>
      </c>
      <c r="O55" s="43" t="str">
        <f>IFERROR(__xludf.DUMMYFUNCTION("IF(COUNTA(J55:N55)=0, """", ARRAYFORMULA(""- ""&amp;TEXTJOIN(char(10)&amp;""- "", TRUE, FILTER(J$1:N$1&amp;"": ""&amp;J55:N55, NOT(ISBLANK(J55:N55))))))"),"")</f>
        <v/>
      </c>
      <c r="P55" s="43" t="s">
        <v>420</v>
      </c>
      <c r="Q55" s="45" t="b">
        <v>1</v>
      </c>
    </row>
    <row r="56">
      <c r="A56" s="34" t="s">
        <v>262</v>
      </c>
      <c r="B56" s="34" t="s">
        <v>263</v>
      </c>
      <c r="C56" s="42"/>
      <c r="D56" s="42" t="b">
        <f t="shared" ref="D56:H56" si="110">VLOOKUP($A56, INDIRECT(D$1&amp;"!A:C"), 3, FALSE)</f>
        <v>1</v>
      </c>
      <c r="E56" s="42" t="str">
        <f t="shared" si="110"/>
        <v>TO DO</v>
      </c>
      <c r="F56" s="42" t="str">
        <f t="shared" si="110"/>
        <v>TO DO</v>
      </c>
      <c r="G56" s="42" t="b">
        <f t="shared" si="110"/>
        <v>1</v>
      </c>
      <c r="H56" s="42" t="b">
        <f t="shared" si="110"/>
        <v>1</v>
      </c>
      <c r="I56" s="43">
        <f t="shared" si="4"/>
        <v>1</v>
      </c>
      <c r="J56" s="44" t="str">
        <f t="shared" ref="J56:N56" si="111">VLOOKUP($A56, INDIRECT(J$1&amp;"!A:D"), 4, FALSE)</f>
        <v/>
      </c>
      <c r="K56" s="44" t="str">
        <f t="shared" si="111"/>
        <v/>
      </c>
      <c r="L56" s="44" t="str">
        <f t="shared" si="111"/>
        <v/>
      </c>
      <c r="M56" s="44" t="str">
        <f t="shared" si="111"/>
        <v/>
      </c>
      <c r="N56" s="44" t="str">
        <f t="shared" si="111"/>
        <v/>
      </c>
      <c r="O56" s="43" t="str">
        <f>IFERROR(__xludf.DUMMYFUNCTION("IF(COUNTA(J56:N56)=0, """", ARRAYFORMULA(""- ""&amp;TEXTJOIN(char(10)&amp;""- "", TRUE, FILTER(J$1:N$1&amp;"": ""&amp;J56:N56, NOT(ISBLANK(J56:N56))))))"),"")</f>
        <v/>
      </c>
      <c r="P56" s="43" t="s">
        <v>420</v>
      </c>
      <c r="Q56" s="45" t="b">
        <v>1</v>
      </c>
    </row>
    <row r="57">
      <c r="A57" s="34" t="s">
        <v>145</v>
      </c>
      <c r="B57" s="34" t="s">
        <v>146</v>
      </c>
      <c r="C57" s="42"/>
      <c r="D57" s="42" t="b">
        <f t="shared" ref="D57:H57" si="112">VLOOKUP($A57, INDIRECT(D$1&amp;"!A:C"), 3, FALSE)</f>
        <v>1</v>
      </c>
      <c r="E57" s="42" t="str">
        <f t="shared" si="112"/>
        <v>TO DO</v>
      </c>
      <c r="F57" s="42" t="str">
        <f t="shared" si="112"/>
        <v>TO DO</v>
      </c>
      <c r="G57" s="42" t="b">
        <f t="shared" si="112"/>
        <v>1</v>
      </c>
      <c r="H57" s="42" t="b">
        <f t="shared" si="112"/>
        <v>1</v>
      </c>
      <c r="I57" s="43">
        <f t="shared" si="4"/>
        <v>1</v>
      </c>
      <c r="J57" s="44" t="str">
        <f t="shared" ref="J57:N57" si="113">VLOOKUP($A57, INDIRECT(J$1&amp;"!A:D"), 4, FALSE)</f>
        <v/>
      </c>
      <c r="K57" s="44" t="str">
        <f t="shared" si="113"/>
        <v/>
      </c>
      <c r="L57" s="44" t="str">
        <f t="shared" si="113"/>
        <v/>
      </c>
      <c r="M57" s="44" t="str">
        <f t="shared" si="113"/>
        <v/>
      </c>
      <c r="N57" s="44" t="str">
        <f t="shared" si="113"/>
        <v/>
      </c>
      <c r="O57" s="43" t="str">
        <f>IFERROR(__xludf.DUMMYFUNCTION("IF(COUNTA(J57:N57)=0, """", ARRAYFORMULA(""- ""&amp;TEXTJOIN(char(10)&amp;""- "", TRUE, FILTER(J$1:N$1&amp;"": ""&amp;J57:N57, NOT(ISBLANK(J57:N57))))))"),"")</f>
        <v/>
      </c>
      <c r="P57" s="43" t="s">
        <v>420</v>
      </c>
      <c r="Q57" s="45" t="b">
        <v>1</v>
      </c>
    </row>
    <row r="58">
      <c r="A58" s="34" t="s">
        <v>99</v>
      </c>
      <c r="B58" s="34" t="s">
        <v>100</v>
      </c>
      <c r="C58" s="7"/>
      <c r="D58" s="42" t="b">
        <f t="shared" ref="D58:H58" si="114">VLOOKUP($A58, INDIRECT(D$1&amp;"!A:C"), 3, FALSE)</f>
        <v>1</v>
      </c>
      <c r="E58" s="42" t="str">
        <f t="shared" si="114"/>
        <v>TO DO</v>
      </c>
      <c r="F58" s="42" t="str">
        <f t="shared" si="114"/>
        <v>TO DO</v>
      </c>
      <c r="G58" s="42" t="b">
        <f t="shared" si="114"/>
        <v>1</v>
      </c>
      <c r="H58" s="42" t="b">
        <f t="shared" si="114"/>
        <v>1</v>
      </c>
      <c r="I58" s="43">
        <f t="shared" si="4"/>
        <v>1</v>
      </c>
      <c r="J58" s="44" t="str">
        <f t="shared" ref="J58:N58" si="115">VLOOKUP($A58, INDIRECT(J$1&amp;"!A:D"), 4, FALSE)</f>
        <v/>
      </c>
      <c r="K58" s="44" t="str">
        <f t="shared" si="115"/>
        <v/>
      </c>
      <c r="L58" s="44" t="str">
        <f t="shared" si="115"/>
        <v/>
      </c>
      <c r="M58" s="44" t="str">
        <f t="shared" si="115"/>
        <v/>
      </c>
      <c r="N58" s="44" t="str">
        <f t="shared" si="115"/>
        <v/>
      </c>
      <c r="O58" s="43" t="str">
        <f>IFERROR(__xludf.DUMMYFUNCTION("IF(COUNTA(J58:N58)=0, """", ARRAYFORMULA(""- ""&amp;TEXTJOIN(char(10)&amp;""- "", TRUE, FILTER(J$1:N$1&amp;"": ""&amp;J58:N58, NOT(ISBLANK(J58:N58))))))"),"")</f>
        <v/>
      </c>
      <c r="P58" s="43" t="s">
        <v>420</v>
      </c>
      <c r="Q58" s="45" t="b">
        <v>1</v>
      </c>
    </row>
    <row r="59" hidden="1">
      <c r="A59" s="34" t="s">
        <v>69</v>
      </c>
      <c r="B59" s="34" t="s">
        <v>70</v>
      </c>
      <c r="C59" s="47" t="s">
        <v>332</v>
      </c>
      <c r="D59" s="42" t="b">
        <f t="shared" ref="D59:H59" si="116">VLOOKUP($A59, INDIRECT(D$1&amp;"!A:C"), 3, FALSE)</f>
        <v>0</v>
      </c>
      <c r="E59" s="42" t="str">
        <f t="shared" si="116"/>
        <v>TO DO</v>
      </c>
      <c r="F59" s="42" t="str">
        <f t="shared" si="116"/>
        <v>TO DO</v>
      </c>
      <c r="G59" s="42" t="b">
        <f t="shared" si="116"/>
        <v>1</v>
      </c>
      <c r="H59" s="42" t="b">
        <f t="shared" si="116"/>
        <v>0</v>
      </c>
      <c r="I59" s="43">
        <f t="shared" si="4"/>
        <v>0.3333333333</v>
      </c>
      <c r="J59" s="44" t="str">
        <f t="shared" ref="J59:N59" si="117">VLOOKUP($A59, INDIRECT(J$1&amp;"!A:D"), 4, FALSE)</f>
        <v/>
      </c>
      <c r="K59" s="44" t="str">
        <f t="shared" si="117"/>
        <v/>
      </c>
      <c r="L59" s="44" t="str">
        <f t="shared" si="117"/>
        <v/>
      </c>
      <c r="M59" s="44">
        <f t="shared" si="117"/>
        <v>4.2</v>
      </c>
      <c r="N59" s="44" t="str">
        <f t="shared" si="117"/>
        <v>links to 4.2, but without specific call to action or value towards objective</v>
      </c>
      <c r="O59" s="43" t="str">
        <f>IFERROR(__xludf.DUMMYFUNCTION("IF(COUNTA(J59:N59)=0, """", ARRAYFORMULA(""- ""&amp;TEXTJOIN(char(10)&amp;""- "", TRUE, FILTER(J$1:N$1&amp;"": ""&amp;J59:N59, NOT(ISBLANK(J59:N59))))))"),"- Meike: 4.2
- Steve: links to 4.2, but without specific call to action or value towards objective")</f>
        <v>- Meike: 4.2
- Steve: links to 4.2, but without specific call to action or value towards objective</v>
      </c>
      <c r="P59" s="43" t="s">
        <v>442</v>
      </c>
      <c r="Q59" s="45" t="s">
        <v>376</v>
      </c>
    </row>
    <row r="60">
      <c r="A60" s="34" t="s">
        <v>195</v>
      </c>
      <c r="B60" s="34" t="s">
        <v>196</v>
      </c>
      <c r="C60" s="7"/>
      <c r="D60" s="42" t="b">
        <f t="shared" ref="D60:H60" si="118">VLOOKUP($A60, INDIRECT(D$1&amp;"!A:C"), 3, FALSE)</f>
        <v>0</v>
      </c>
      <c r="E60" s="42" t="str">
        <f t="shared" si="118"/>
        <v>TO DO</v>
      </c>
      <c r="F60" s="42" t="str">
        <f t="shared" si="118"/>
        <v>TO DO</v>
      </c>
      <c r="G60" s="42" t="b">
        <f t="shared" si="118"/>
        <v>0</v>
      </c>
      <c r="H60" s="42" t="b">
        <f t="shared" si="118"/>
        <v>0</v>
      </c>
      <c r="I60" s="43">
        <f t="shared" si="4"/>
        <v>1</v>
      </c>
      <c r="J60" s="44" t="str">
        <f t="shared" ref="J60:N60" si="119">VLOOKUP($A60, INDIRECT(J$1&amp;"!A:D"), 4, FALSE)</f>
        <v/>
      </c>
      <c r="K60" s="44" t="str">
        <f t="shared" si="119"/>
        <v/>
      </c>
      <c r="L60" s="44" t="str">
        <f t="shared" si="119"/>
        <v/>
      </c>
      <c r="M60" s="44" t="str">
        <f t="shared" si="119"/>
        <v/>
      </c>
      <c r="N60" s="44" t="str">
        <f t="shared" si="119"/>
        <v>though vaguely linked to early childhood development</v>
      </c>
      <c r="O60" s="43" t="str">
        <f>IFERROR(__xludf.DUMMYFUNCTION("IF(COUNTA(J60:N60)=0, """", ARRAYFORMULA(""- ""&amp;TEXTJOIN(char(10)&amp;""- "", TRUE, FILTER(J$1:N$1&amp;"": ""&amp;J60:N60, NOT(ISBLANK(J60:N60))))))"),"- Steve: though vaguely linked to early childhood development")</f>
        <v>- Steve: though vaguely linked to early childhood development</v>
      </c>
      <c r="P60" s="43" t="s">
        <v>443</v>
      </c>
      <c r="Q60" s="45" t="b">
        <v>0</v>
      </c>
    </row>
    <row r="61">
      <c r="A61" s="34" t="s">
        <v>101</v>
      </c>
      <c r="B61" s="34" t="s">
        <v>102</v>
      </c>
      <c r="C61" s="46"/>
      <c r="D61" s="42" t="b">
        <f t="shared" ref="D61:H61" si="120">VLOOKUP($A61, INDIRECT(D$1&amp;"!A:C"), 3, FALSE)</f>
        <v>1</v>
      </c>
      <c r="E61" s="42" t="str">
        <f t="shared" si="120"/>
        <v>TO DO</v>
      </c>
      <c r="F61" s="42" t="str">
        <f t="shared" si="120"/>
        <v>TO DO</v>
      </c>
      <c r="G61" s="42" t="b">
        <f t="shared" si="120"/>
        <v>1</v>
      </c>
      <c r="H61" s="42" t="b">
        <f t="shared" si="120"/>
        <v>1</v>
      </c>
      <c r="I61" s="43">
        <f t="shared" si="4"/>
        <v>1</v>
      </c>
      <c r="J61" s="44" t="str">
        <f t="shared" ref="J61:N61" si="121">VLOOKUP($A61, INDIRECT(J$1&amp;"!A:D"), 4, FALSE)</f>
        <v>target 4.5</v>
      </c>
      <c r="K61" s="44" t="str">
        <f t="shared" si="121"/>
        <v/>
      </c>
      <c r="L61" s="44" t="str">
        <f t="shared" si="121"/>
        <v/>
      </c>
      <c r="M61" s="44" t="str">
        <f t="shared" si="121"/>
        <v/>
      </c>
      <c r="N61" s="44" t="str">
        <f t="shared" si="121"/>
        <v/>
      </c>
      <c r="O61" s="43" t="str">
        <f>IFERROR(__xludf.DUMMYFUNCTION("IF(COUNTA(J61:N61)=0, """", ARRAYFORMULA(""- ""&amp;TEXTJOIN(char(10)&amp;""- "", TRUE, FILTER(J$1:N$1&amp;"": ""&amp;J61:N61, NOT(ISBLANK(J61:N61))))))"),"- Finn: target 4.5")</f>
        <v>- Finn: target 4.5</v>
      </c>
      <c r="P61" s="43" t="s">
        <v>444</v>
      </c>
      <c r="Q61" s="45" t="b">
        <v>1</v>
      </c>
    </row>
    <row r="62">
      <c r="A62" s="34" t="s">
        <v>91</v>
      </c>
      <c r="B62" s="34" t="s">
        <v>92</v>
      </c>
      <c r="C62" s="46"/>
      <c r="D62" s="42" t="b">
        <f t="shared" ref="D62:H62" si="122">VLOOKUP($A62, INDIRECT(D$1&amp;"!A:C"), 3, FALSE)</f>
        <v>1</v>
      </c>
      <c r="E62" s="42" t="str">
        <f t="shared" si="122"/>
        <v>TO DO</v>
      </c>
      <c r="F62" s="42" t="str">
        <f t="shared" si="122"/>
        <v>TO DO</v>
      </c>
      <c r="G62" s="42" t="b">
        <f t="shared" si="122"/>
        <v>1</v>
      </c>
      <c r="H62" s="42" t="b">
        <f t="shared" si="122"/>
        <v>1</v>
      </c>
      <c r="I62" s="43">
        <f t="shared" si="4"/>
        <v>1</v>
      </c>
      <c r="J62" s="44" t="str">
        <f t="shared" ref="J62:N62" si="123">VLOOKUP($A62, INDIRECT(J$1&amp;"!A:D"), 4, FALSE)</f>
        <v/>
      </c>
      <c r="K62" s="44" t="str">
        <f t="shared" si="123"/>
        <v/>
      </c>
      <c r="L62" s="44" t="str">
        <f t="shared" si="123"/>
        <v/>
      </c>
      <c r="M62" s="44" t="str">
        <f t="shared" si="123"/>
        <v/>
      </c>
      <c r="N62" s="44" t="str">
        <f t="shared" si="123"/>
        <v/>
      </c>
      <c r="O62" s="43" t="str">
        <f>IFERROR(__xludf.DUMMYFUNCTION("IF(COUNTA(J62:N62)=0, """", ARRAYFORMULA(""- ""&amp;TEXTJOIN(char(10)&amp;""- "", TRUE, FILTER(J$1:N$1&amp;"": ""&amp;J62:N62, NOT(ISBLANK(J62:N62))))))"),"")</f>
        <v/>
      </c>
      <c r="P62" s="43" t="s">
        <v>420</v>
      </c>
      <c r="Q62" s="45" t="b">
        <v>1</v>
      </c>
    </row>
    <row r="63">
      <c r="A63" s="34" t="s">
        <v>223</v>
      </c>
      <c r="B63" s="34" t="s">
        <v>224</v>
      </c>
      <c r="C63" s="46"/>
      <c r="D63" s="42" t="b">
        <f t="shared" ref="D63:H63" si="124">VLOOKUP($A63, INDIRECT(D$1&amp;"!A:C"), 3, FALSE)</f>
        <v>0</v>
      </c>
      <c r="E63" s="42" t="str">
        <f t="shared" si="124"/>
        <v>TO DO</v>
      </c>
      <c r="F63" s="42" t="str">
        <f t="shared" si="124"/>
        <v>TO DO</v>
      </c>
      <c r="G63" s="42" t="b">
        <f t="shared" si="124"/>
        <v>0</v>
      </c>
      <c r="H63" s="42" t="b">
        <f t="shared" si="124"/>
        <v>0</v>
      </c>
      <c r="I63" s="43">
        <f t="shared" si="4"/>
        <v>1</v>
      </c>
      <c r="J63" s="44" t="str">
        <f t="shared" ref="J63:N63" si="125">VLOOKUP($A63, INDIRECT(J$1&amp;"!A:D"), 4, FALSE)</f>
        <v/>
      </c>
      <c r="K63" s="44" t="str">
        <f t="shared" si="125"/>
        <v/>
      </c>
      <c r="L63" s="44" t="str">
        <f t="shared" si="125"/>
        <v/>
      </c>
      <c r="M63" s="44" t="str">
        <f t="shared" si="125"/>
        <v/>
      </c>
      <c r="N63" s="44" t="str">
        <f t="shared" si="125"/>
        <v/>
      </c>
      <c r="O63" s="43" t="str">
        <f>IFERROR(__xludf.DUMMYFUNCTION("IF(COUNTA(J63:N63)=0, """", ARRAYFORMULA(""- ""&amp;TEXTJOIN(char(10)&amp;""- "", TRUE, FILTER(J$1:N$1&amp;"": ""&amp;J63:N63, NOT(ISBLANK(J63:N63))))))"),"")</f>
        <v/>
      </c>
      <c r="P63" s="43" t="s">
        <v>420</v>
      </c>
      <c r="Q63" s="45" t="b">
        <v>0</v>
      </c>
    </row>
    <row r="64">
      <c r="A64" s="34" t="s">
        <v>107</v>
      </c>
      <c r="B64" s="34" t="s">
        <v>108</v>
      </c>
      <c r="C64" s="42"/>
      <c r="D64" s="42" t="b">
        <f t="shared" ref="D64:H64" si="126">VLOOKUP($A64, INDIRECT(D$1&amp;"!A:C"), 3, FALSE)</f>
        <v>0</v>
      </c>
      <c r="E64" s="42" t="str">
        <f t="shared" si="126"/>
        <v>TO DO</v>
      </c>
      <c r="F64" s="42" t="str">
        <f t="shared" si="126"/>
        <v>TO DO</v>
      </c>
      <c r="G64" s="42" t="b">
        <f t="shared" si="126"/>
        <v>0</v>
      </c>
      <c r="H64" s="42" t="b">
        <f t="shared" si="126"/>
        <v>0</v>
      </c>
      <c r="I64" s="43">
        <f t="shared" si="4"/>
        <v>1</v>
      </c>
      <c r="J64" s="44" t="str">
        <f t="shared" ref="J64:N64" si="127">VLOOKUP($A64, INDIRECT(J$1&amp;"!A:D"), 4, FALSE)</f>
        <v/>
      </c>
      <c r="K64" s="44" t="str">
        <f t="shared" si="127"/>
        <v/>
      </c>
      <c r="L64" s="44" t="str">
        <f t="shared" si="127"/>
        <v/>
      </c>
      <c r="M64" s="44" t="str">
        <f t="shared" si="127"/>
        <v/>
      </c>
      <c r="N64" s="44" t="str">
        <f t="shared" si="127"/>
        <v>tertiary graduates not explicit enough and not linking to specific objective</v>
      </c>
      <c r="O64" s="43" t="str">
        <f>IFERROR(__xludf.DUMMYFUNCTION("IF(COUNTA(J64:N64)=0, """", ARRAYFORMULA(""- ""&amp;TEXTJOIN(char(10)&amp;""- "", TRUE, FILTER(J$1:N$1&amp;"": ""&amp;J64:N64, NOT(ISBLANK(J64:N64))))))"),"- Steve: tertiary graduates not explicit enough and not linking to specific objective")</f>
        <v>- Steve: tertiary graduates not explicit enough and not linking to specific objective</v>
      </c>
      <c r="P64" s="43" t="s">
        <v>445</v>
      </c>
      <c r="Q64" s="45" t="b">
        <v>0</v>
      </c>
    </row>
    <row r="65">
      <c r="A65" s="34" t="s">
        <v>229</v>
      </c>
      <c r="B65" s="34" t="s">
        <v>230</v>
      </c>
      <c r="C65" s="7"/>
      <c r="D65" s="42" t="b">
        <f t="shared" ref="D65:H65" si="128">VLOOKUP($A65, INDIRECT(D$1&amp;"!A:C"), 3, FALSE)</f>
        <v>1</v>
      </c>
      <c r="E65" s="42" t="str">
        <f t="shared" si="128"/>
        <v>TO DO</v>
      </c>
      <c r="F65" s="42" t="str">
        <f t="shared" si="128"/>
        <v>TO DO</v>
      </c>
      <c r="G65" s="42" t="b">
        <f t="shared" si="128"/>
        <v>1</v>
      </c>
      <c r="H65" s="42" t="b">
        <f t="shared" si="128"/>
        <v>1</v>
      </c>
      <c r="I65" s="43">
        <f t="shared" si="4"/>
        <v>1</v>
      </c>
      <c r="J65" s="44" t="str">
        <f t="shared" ref="J65:N65" si="129">VLOOKUP($A65, INDIRECT(J$1&amp;"!A:D"), 4, FALSE)</f>
        <v/>
      </c>
      <c r="K65" s="44" t="str">
        <f t="shared" si="129"/>
        <v/>
      </c>
      <c r="L65" s="44" t="str">
        <f t="shared" si="129"/>
        <v/>
      </c>
      <c r="M65" s="44" t="str">
        <f t="shared" si="129"/>
        <v/>
      </c>
      <c r="N65" s="44" t="str">
        <f t="shared" si="129"/>
        <v/>
      </c>
      <c r="O65" s="43" t="str">
        <f>IFERROR(__xludf.DUMMYFUNCTION("IF(COUNTA(J65:N65)=0, """", ARRAYFORMULA(""- ""&amp;TEXTJOIN(char(10)&amp;""- "", TRUE, FILTER(J$1:N$1&amp;"": ""&amp;J65:N65, NOT(ISBLANK(J65:N65))))))"),"")</f>
        <v/>
      </c>
      <c r="P65" s="43" t="s">
        <v>420</v>
      </c>
      <c r="Q65" s="45" t="b">
        <v>1</v>
      </c>
    </row>
    <row r="66" hidden="1">
      <c r="A66" s="34" t="s">
        <v>235</v>
      </c>
      <c r="B66" s="34" t="s">
        <v>236</v>
      </c>
      <c r="C66" s="7" t="s">
        <v>332</v>
      </c>
      <c r="D66" s="42" t="b">
        <f t="shared" ref="D66:H66" si="130">VLOOKUP($A66, INDIRECT(D$1&amp;"!A:C"), 3, FALSE)</f>
        <v>1</v>
      </c>
      <c r="E66" s="42" t="str">
        <f t="shared" si="130"/>
        <v>TO DO</v>
      </c>
      <c r="F66" s="42" t="str">
        <f t="shared" si="130"/>
        <v>TO DO</v>
      </c>
      <c r="G66" s="42" t="b">
        <f t="shared" si="130"/>
        <v>0</v>
      </c>
      <c r="H66" s="42" t="b">
        <f t="shared" si="130"/>
        <v>1</v>
      </c>
      <c r="I66" s="43">
        <f t="shared" si="4"/>
        <v>0.3333333333</v>
      </c>
      <c r="J66" s="44" t="str">
        <f t="shared" ref="J66:N66" si="131">VLOOKUP($A66, INDIRECT(J$1&amp;"!A:D"), 4, FALSE)</f>
        <v/>
      </c>
      <c r="K66" s="44" t="str">
        <f t="shared" si="131"/>
        <v/>
      </c>
      <c r="L66" s="44" t="str">
        <f t="shared" si="131"/>
        <v/>
      </c>
      <c r="M66" s="44" t="str">
        <f t="shared" si="131"/>
        <v/>
      </c>
      <c r="N66" s="44" t="str">
        <f t="shared" si="131"/>
        <v/>
      </c>
      <c r="O66" s="43" t="str">
        <f>IFERROR(__xludf.DUMMYFUNCTION("IF(COUNTA(J66:N66)=0, """", ARRAYFORMULA(""- ""&amp;TEXTJOIN(char(10)&amp;""- "", TRUE, FILTER(J$1:N$1&amp;"": ""&amp;J66:N66, NOT(ISBLANK(J66:N66))))))"),"")</f>
        <v/>
      </c>
      <c r="P66" s="43" t="s">
        <v>420</v>
      </c>
      <c r="Q66" s="45" t="s">
        <v>376</v>
      </c>
    </row>
    <row r="67">
      <c r="A67" s="34" t="s">
        <v>225</v>
      </c>
      <c r="B67" s="34" t="s">
        <v>226</v>
      </c>
      <c r="C67" s="46"/>
      <c r="D67" s="42" t="b">
        <f t="shared" ref="D67:H67" si="132">VLOOKUP($A67, INDIRECT(D$1&amp;"!A:C"), 3, FALSE)</f>
        <v>0</v>
      </c>
      <c r="E67" s="42" t="str">
        <f t="shared" si="132"/>
        <v>TO DO</v>
      </c>
      <c r="F67" s="42" t="str">
        <f t="shared" si="132"/>
        <v>TO DO</v>
      </c>
      <c r="G67" s="42" t="b">
        <f t="shared" si="132"/>
        <v>0</v>
      </c>
      <c r="H67" s="42" t="b">
        <f t="shared" si="132"/>
        <v>0</v>
      </c>
      <c r="I67" s="43">
        <f t="shared" si="4"/>
        <v>1</v>
      </c>
      <c r="J67" s="44" t="str">
        <f t="shared" ref="J67:N67" si="133">VLOOKUP($A67, INDIRECT(J$1&amp;"!A:D"), 4, FALSE)</f>
        <v/>
      </c>
      <c r="K67" s="44" t="str">
        <f t="shared" si="133"/>
        <v/>
      </c>
      <c r="L67" s="44" t="str">
        <f t="shared" si="133"/>
        <v/>
      </c>
      <c r="M67" s="44" t="str">
        <f t="shared" si="133"/>
        <v/>
      </c>
      <c r="N67" s="44" t="str">
        <f t="shared" si="133"/>
        <v/>
      </c>
      <c r="O67" s="43" t="str">
        <f>IFERROR(__xludf.DUMMYFUNCTION("IF(COUNTA(J67:N67)=0, """", ARRAYFORMULA(""- ""&amp;TEXTJOIN(char(10)&amp;""- "", TRUE, FILTER(J$1:N$1&amp;"": ""&amp;J67:N67, NOT(ISBLANK(J67:N67))))))"),"")</f>
        <v/>
      </c>
      <c r="P67" s="43" t="s">
        <v>420</v>
      </c>
      <c r="Q67" s="45" t="b">
        <v>0</v>
      </c>
    </row>
    <row r="68">
      <c r="A68" s="34" t="s">
        <v>123</v>
      </c>
      <c r="B68" s="34" t="s">
        <v>124</v>
      </c>
      <c r="C68" s="7"/>
      <c r="D68" s="42" t="b">
        <f t="shared" ref="D68:H68" si="134">VLOOKUP($A68, INDIRECT(D$1&amp;"!A:C"), 3, FALSE)</f>
        <v>1</v>
      </c>
      <c r="E68" s="42" t="str">
        <f t="shared" si="134"/>
        <v>TO DO</v>
      </c>
      <c r="F68" s="42" t="str">
        <f t="shared" si="134"/>
        <v>TO DO</v>
      </c>
      <c r="G68" s="42" t="b">
        <f t="shared" si="134"/>
        <v>1</v>
      </c>
      <c r="H68" s="42" t="b">
        <f t="shared" si="134"/>
        <v>1</v>
      </c>
      <c r="I68" s="43">
        <f t="shared" si="4"/>
        <v>1</v>
      </c>
      <c r="J68" s="44" t="str">
        <f t="shared" ref="J68:N68" si="135">VLOOKUP($A68, INDIRECT(J$1&amp;"!A:D"), 4, FALSE)</f>
        <v>target 4.5 (equal access)</v>
      </c>
      <c r="K68" s="44" t="str">
        <f t="shared" si="135"/>
        <v/>
      </c>
      <c r="L68" s="44" t="str">
        <f t="shared" si="135"/>
        <v/>
      </c>
      <c r="M68" s="44" t="str">
        <f t="shared" si="135"/>
        <v/>
      </c>
      <c r="N68" s="44" t="str">
        <f t="shared" si="135"/>
        <v/>
      </c>
      <c r="O68" s="43" t="str">
        <f>IFERROR(__xludf.DUMMYFUNCTION("IF(COUNTA(J68:N68)=0, """", ARRAYFORMULA(""- ""&amp;TEXTJOIN(char(10)&amp;""- "", TRUE, FILTER(J$1:N$1&amp;"": ""&amp;J68:N68, NOT(ISBLANK(J68:N68))))))"),"- Finn: target 4.5 (equal access)")</f>
        <v>- Finn: target 4.5 (equal access)</v>
      </c>
      <c r="P68" s="43" t="s">
        <v>446</v>
      </c>
      <c r="Q68" s="45" t="b">
        <v>1</v>
      </c>
    </row>
    <row r="69" hidden="1">
      <c r="A69" s="34" t="s">
        <v>197</v>
      </c>
      <c r="B69" s="34" t="s">
        <v>198</v>
      </c>
      <c r="C69" s="47" t="s">
        <v>342</v>
      </c>
      <c r="D69" s="42" t="b">
        <f t="shared" ref="D69:H69" si="136">VLOOKUP($A69, INDIRECT(D$1&amp;"!A:C"), 3, FALSE)</f>
        <v>0</v>
      </c>
      <c r="E69" s="42" t="str">
        <f t="shared" si="136"/>
        <v>TO DO</v>
      </c>
      <c r="F69" s="42" t="str">
        <f t="shared" si="136"/>
        <v>TO DO</v>
      </c>
      <c r="G69" s="42" t="b">
        <f t="shared" si="136"/>
        <v>1</v>
      </c>
      <c r="H69" s="42" t="b">
        <f t="shared" si="136"/>
        <v>1</v>
      </c>
      <c r="I69" s="43">
        <f t="shared" si="4"/>
        <v>0.3333333333</v>
      </c>
      <c r="J69" s="44" t="str">
        <f t="shared" ref="J69:N69" si="137">VLOOKUP($A69, INDIRECT(J$1&amp;"!A:D"), 4, FALSE)</f>
        <v>one sentence on education is tricky</v>
      </c>
      <c r="K69" s="44" t="str">
        <f t="shared" si="137"/>
        <v/>
      </c>
      <c r="L69" s="44" t="str">
        <f t="shared" si="137"/>
        <v/>
      </c>
      <c r="M69" s="44" t="str">
        <f t="shared" si="137"/>
        <v/>
      </c>
      <c r="N69" s="44" t="str">
        <f t="shared" si="137"/>
        <v/>
      </c>
      <c r="O69" s="43" t="str">
        <f>IFERROR(__xludf.DUMMYFUNCTION("IF(COUNTA(J69:N69)=0, """", ARRAYFORMULA(""- ""&amp;TEXTJOIN(char(10)&amp;""- "", TRUE, FILTER(J$1:N$1&amp;"": ""&amp;J69:N69, NOT(ISBLANK(J69:N69))))))"),"- Finn: one sentence on education is tricky")</f>
        <v>- Finn: one sentence on education is tricky</v>
      </c>
      <c r="P69" s="43" t="s">
        <v>447</v>
      </c>
      <c r="Q69" s="45" t="s">
        <v>376</v>
      </c>
    </row>
    <row r="70" hidden="1">
      <c r="A70" s="34" t="s">
        <v>73</v>
      </c>
      <c r="B70" s="34" t="s">
        <v>74</v>
      </c>
      <c r="C70" s="7" t="s">
        <v>332</v>
      </c>
      <c r="D70" s="42" t="b">
        <f t="shared" ref="D70:H70" si="138">VLOOKUP($A70, INDIRECT(D$1&amp;"!A:C"), 3, FALSE)</f>
        <v>1</v>
      </c>
      <c r="E70" s="42" t="str">
        <f t="shared" si="138"/>
        <v>TO DO</v>
      </c>
      <c r="F70" s="42" t="str">
        <f t="shared" si="138"/>
        <v>TO DO</v>
      </c>
      <c r="G70" s="42" t="b">
        <f t="shared" si="138"/>
        <v>0</v>
      </c>
      <c r="H70" s="42" t="b">
        <f t="shared" si="138"/>
        <v>0</v>
      </c>
      <c r="I70" s="43">
        <f t="shared" si="4"/>
        <v>0.3333333333</v>
      </c>
      <c r="J70" s="44" t="str">
        <f t="shared" ref="J70:N70" si="139">VLOOKUP($A70, INDIRECT(J$1&amp;"!A:D"), 4, FALSE)</f>
        <v>target 4.4 (weak)</v>
      </c>
      <c r="K70" s="44" t="str">
        <f t="shared" si="139"/>
        <v/>
      </c>
      <c r="L70" s="44" t="str">
        <f t="shared" si="139"/>
        <v/>
      </c>
      <c r="M70" s="44" t="str">
        <f t="shared" si="139"/>
        <v/>
      </c>
      <c r="N70" s="44" t="str">
        <f t="shared" si="139"/>
        <v>not explicit enough as a link to vocational training, not talking about implications of continuing vocational training, not linked specifically to 4.4</v>
      </c>
      <c r="O70" s="43" t="str">
        <f>IFERROR(__xludf.DUMMYFUNCTION("IF(COUNTA(J70:N70)=0, """", ARRAYFORMULA(""- ""&amp;TEXTJOIN(char(10)&amp;""- "", TRUE, FILTER(J$1:N$1&amp;"": ""&amp;J70:N70, NOT(ISBLANK(J70:N70))))))"),"- Finn: target 4.4 (weak)
- Steve: not explicit enough as a link to vocational training, not talking about implications of continuing vocational training, not linked specifically to 4.4")</f>
        <v>- Finn: target 4.4 (weak)
- Steve: not explicit enough as a link to vocational training, not talking about implications of continuing vocational training, not linked specifically to 4.4</v>
      </c>
      <c r="P70" s="43" t="s">
        <v>448</v>
      </c>
      <c r="Q70" s="45" t="s">
        <v>376</v>
      </c>
    </row>
    <row r="71">
      <c r="A71" s="34" t="s">
        <v>185</v>
      </c>
      <c r="B71" s="34" t="s">
        <v>186</v>
      </c>
      <c r="C71" s="46"/>
      <c r="D71" s="42" t="b">
        <f t="shared" ref="D71:H71" si="140">VLOOKUP($A71, INDIRECT(D$1&amp;"!A:C"), 3, FALSE)</f>
        <v>1</v>
      </c>
      <c r="E71" s="42" t="str">
        <f t="shared" si="140"/>
        <v>TO DO</v>
      </c>
      <c r="F71" s="42" t="str">
        <f t="shared" si="140"/>
        <v>TO DO</v>
      </c>
      <c r="G71" s="42" t="b">
        <f t="shared" si="140"/>
        <v>1</v>
      </c>
      <c r="H71" s="42" t="b">
        <f t="shared" si="140"/>
        <v>1</v>
      </c>
      <c r="I71" s="43">
        <f t="shared" si="4"/>
        <v>1</v>
      </c>
      <c r="J71" s="44" t="str">
        <f t="shared" ref="J71:N71" si="141">VLOOKUP($A71, INDIRECT(J$1&amp;"!A:D"), 4, FALSE)</f>
        <v/>
      </c>
      <c r="K71" s="44" t="str">
        <f t="shared" si="141"/>
        <v/>
      </c>
      <c r="L71" s="44" t="str">
        <f t="shared" si="141"/>
        <v/>
      </c>
      <c r="M71" s="44" t="str">
        <f t="shared" si="141"/>
        <v>mostly about funding</v>
      </c>
      <c r="N71" s="44" t="str">
        <f t="shared" si="141"/>
        <v/>
      </c>
      <c r="O71" s="43" t="str">
        <f>IFERROR(__xludf.DUMMYFUNCTION("IF(COUNTA(J71:N71)=0, """", ARRAYFORMULA(""- ""&amp;TEXTJOIN(char(10)&amp;""- "", TRUE, FILTER(J$1:N$1&amp;"": ""&amp;J71:N71, NOT(ISBLANK(J71:N71))))))"),"- Meike: mostly about funding")</f>
        <v>- Meike: mostly about funding</v>
      </c>
      <c r="P71" s="43" t="s">
        <v>449</v>
      </c>
      <c r="Q71" s="45" t="b">
        <v>1</v>
      </c>
    </row>
    <row r="72">
      <c r="A72" s="34" t="s">
        <v>141</v>
      </c>
      <c r="B72" s="34" t="s">
        <v>142</v>
      </c>
      <c r="C72" s="47"/>
      <c r="D72" s="42" t="b">
        <f t="shared" ref="D72:H72" si="142">VLOOKUP($A72, INDIRECT(D$1&amp;"!A:C"), 3, FALSE)</f>
        <v>0</v>
      </c>
      <c r="E72" s="42" t="str">
        <f t="shared" si="142"/>
        <v>TO DO</v>
      </c>
      <c r="F72" s="42" t="str">
        <f t="shared" si="142"/>
        <v>TO DO</v>
      </c>
      <c r="G72" s="42" t="b">
        <f t="shared" si="142"/>
        <v>0</v>
      </c>
      <c r="H72" s="42" t="b">
        <f t="shared" si="142"/>
        <v>0</v>
      </c>
      <c r="I72" s="43">
        <f t="shared" si="4"/>
        <v>1</v>
      </c>
      <c r="J72" s="44" t="str">
        <f t="shared" ref="J72:N72" si="143">VLOOKUP($A72, INDIRECT(J$1&amp;"!A:D"), 4, FALSE)</f>
        <v/>
      </c>
      <c r="K72" s="44" t="str">
        <f t="shared" si="143"/>
        <v/>
      </c>
      <c r="L72" s="44" t="str">
        <f t="shared" si="143"/>
        <v/>
      </c>
      <c r="M72" s="44" t="str">
        <f t="shared" si="143"/>
        <v/>
      </c>
      <c r="N72" s="44" t="str">
        <f t="shared" si="143"/>
        <v/>
      </c>
      <c r="O72" s="43" t="str">
        <f>IFERROR(__xludf.DUMMYFUNCTION("IF(COUNTA(J72:N72)=0, """", ARRAYFORMULA(""- ""&amp;TEXTJOIN(char(10)&amp;""- "", TRUE, FILTER(J$1:N$1&amp;"": ""&amp;J72:N72, NOT(ISBLANK(J72:N72))))))"),"")</f>
        <v/>
      </c>
      <c r="P72" s="43" t="s">
        <v>420</v>
      </c>
      <c r="Q72" s="45" t="b">
        <v>0</v>
      </c>
    </row>
    <row r="73">
      <c r="A73" s="34" t="s">
        <v>159</v>
      </c>
      <c r="B73" s="34" t="s">
        <v>160</v>
      </c>
      <c r="C73" s="46"/>
      <c r="D73" s="42" t="b">
        <f t="shared" ref="D73:H73" si="144">VLOOKUP($A73, INDIRECT(D$1&amp;"!A:C"), 3, FALSE)</f>
        <v>1</v>
      </c>
      <c r="E73" s="42" t="str">
        <f t="shared" si="144"/>
        <v>TO DO</v>
      </c>
      <c r="F73" s="42" t="str">
        <f t="shared" si="144"/>
        <v>TO DO</v>
      </c>
      <c r="G73" s="42" t="b">
        <f t="shared" si="144"/>
        <v>1</v>
      </c>
      <c r="H73" s="42" t="b">
        <f t="shared" si="144"/>
        <v>1</v>
      </c>
      <c r="I73" s="43">
        <f t="shared" si="4"/>
        <v>1</v>
      </c>
      <c r="J73" s="44" t="str">
        <f t="shared" ref="J73:N73" si="145">VLOOKUP($A73, INDIRECT(J$1&amp;"!A:D"), 4, FALSE)</f>
        <v/>
      </c>
      <c r="K73" s="44" t="str">
        <f t="shared" si="145"/>
        <v/>
      </c>
      <c r="L73" s="44" t="str">
        <f t="shared" si="145"/>
        <v/>
      </c>
      <c r="M73" s="44" t="str">
        <f t="shared" si="145"/>
        <v/>
      </c>
      <c r="N73" s="44" t="str">
        <f t="shared" si="145"/>
        <v/>
      </c>
      <c r="O73" s="43" t="str">
        <f>IFERROR(__xludf.DUMMYFUNCTION("IF(COUNTA(J73:N73)=0, """", ARRAYFORMULA(""- ""&amp;TEXTJOIN(char(10)&amp;""- "", TRUE, FILTER(J$1:N$1&amp;"": ""&amp;J73:N73, NOT(ISBLANK(J73:N73))))))"),"")</f>
        <v/>
      </c>
      <c r="P73" s="43" t="s">
        <v>420</v>
      </c>
      <c r="Q73" s="45" t="b">
        <v>1</v>
      </c>
    </row>
    <row r="74" hidden="1">
      <c r="A74" s="34" t="s">
        <v>237</v>
      </c>
      <c r="B74" s="34" t="s">
        <v>238</v>
      </c>
      <c r="C74" s="7" t="s">
        <v>421</v>
      </c>
      <c r="D74" s="42" t="b">
        <f t="shared" ref="D74:H74" si="146">VLOOKUP($A74, INDIRECT(D$1&amp;"!A:C"), 3, FALSE)</f>
        <v>1</v>
      </c>
      <c r="E74" s="42" t="str">
        <f t="shared" si="146"/>
        <v>TO DO</v>
      </c>
      <c r="F74" s="42" t="str">
        <f t="shared" si="146"/>
        <v>TO DO</v>
      </c>
      <c r="G74" s="42" t="b">
        <f t="shared" si="146"/>
        <v>1</v>
      </c>
      <c r="H74" s="42" t="b">
        <f t="shared" si="146"/>
        <v>0</v>
      </c>
      <c r="I74" s="43">
        <f t="shared" si="4"/>
        <v>0.3333333333</v>
      </c>
      <c r="J74" s="44" t="str">
        <f t="shared" ref="J74:N74" si="147">VLOOKUP($A74, INDIRECT(J$1&amp;"!A:D"), 4, FALSE)</f>
        <v/>
      </c>
      <c r="K74" s="44" t="str">
        <f t="shared" si="147"/>
        <v/>
      </c>
      <c r="L74" s="44" t="str">
        <f t="shared" si="147"/>
        <v/>
      </c>
      <c r="M74" s="44" t="str">
        <f t="shared" si="147"/>
        <v/>
      </c>
      <c r="N74" s="44" t="str">
        <f t="shared" si="147"/>
        <v/>
      </c>
      <c r="O74" s="43" t="str">
        <f>IFERROR(__xludf.DUMMYFUNCTION("IF(COUNTA(J74:N74)=0, """", ARRAYFORMULA(""- ""&amp;TEXTJOIN(char(10)&amp;""- "", TRUE, FILTER(J$1:N$1&amp;"": ""&amp;J74:N74, NOT(ISBLANK(J74:N74))))))"),"")</f>
        <v/>
      </c>
      <c r="P74" s="43" t="s">
        <v>420</v>
      </c>
      <c r="Q74" s="45" t="s">
        <v>376</v>
      </c>
    </row>
    <row r="75">
      <c r="A75" s="34" t="s">
        <v>97</v>
      </c>
      <c r="B75" s="34" t="s">
        <v>98</v>
      </c>
      <c r="C75" s="47"/>
      <c r="D75" s="42" t="b">
        <f t="shared" ref="D75:H75" si="148">VLOOKUP($A75, INDIRECT(D$1&amp;"!A:C"), 3, FALSE)</f>
        <v>0</v>
      </c>
      <c r="E75" s="42" t="str">
        <f t="shared" si="148"/>
        <v>TO DO</v>
      </c>
      <c r="F75" s="42" t="str">
        <f t="shared" si="148"/>
        <v>TO DO</v>
      </c>
      <c r="G75" s="42" t="b">
        <f t="shared" si="148"/>
        <v>0</v>
      </c>
      <c r="H75" s="42" t="b">
        <f t="shared" si="148"/>
        <v>0</v>
      </c>
      <c r="I75" s="43">
        <f t="shared" si="4"/>
        <v>1</v>
      </c>
      <c r="J75" s="44" t="str">
        <f t="shared" ref="J75:N75" si="149">VLOOKUP($A75, INDIRECT(J$1&amp;"!A:D"), 4, FALSE)</f>
        <v/>
      </c>
      <c r="K75" s="44" t="str">
        <f t="shared" si="149"/>
        <v/>
      </c>
      <c r="L75" s="44" t="str">
        <f t="shared" si="149"/>
        <v/>
      </c>
      <c r="M75" s="44" t="str">
        <f t="shared" si="149"/>
        <v/>
      </c>
      <c r="N75" s="44" t="str">
        <f t="shared" si="149"/>
        <v/>
      </c>
      <c r="O75" s="43" t="str">
        <f>IFERROR(__xludf.DUMMYFUNCTION("IF(COUNTA(J75:N75)=0, """", ARRAYFORMULA(""- ""&amp;TEXTJOIN(char(10)&amp;""- "", TRUE, FILTER(J$1:N$1&amp;"": ""&amp;J75:N75, NOT(ISBLANK(J75:N75))))))"),"")</f>
        <v/>
      </c>
      <c r="P75" s="43" t="s">
        <v>420</v>
      </c>
      <c r="Q75" s="45" t="b">
        <v>0</v>
      </c>
    </row>
    <row r="76">
      <c r="A76" s="34" t="s">
        <v>157</v>
      </c>
      <c r="B76" s="34" t="s">
        <v>158</v>
      </c>
      <c r="C76" s="42"/>
      <c r="D76" s="42" t="b">
        <f t="shared" ref="D76:H76" si="150">VLOOKUP($A76, INDIRECT(D$1&amp;"!A:C"), 3, FALSE)</f>
        <v>1</v>
      </c>
      <c r="E76" s="42" t="str">
        <f t="shared" si="150"/>
        <v>TO DO</v>
      </c>
      <c r="F76" s="42" t="str">
        <f t="shared" si="150"/>
        <v>TO DO</v>
      </c>
      <c r="G76" s="42" t="b">
        <f t="shared" si="150"/>
        <v>1</v>
      </c>
      <c r="H76" s="42" t="b">
        <f t="shared" si="150"/>
        <v>1</v>
      </c>
      <c r="I76" s="43">
        <f t="shared" si="4"/>
        <v>1</v>
      </c>
      <c r="J76" s="44" t="str">
        <f t="shared" ref="J76:N76" si="151">VLOOKUP($A76, INDIRECT(J$1&amp;"!A:D"), 4, FALSE)</f>
        <v/>
      </c>
      <c r="K76" s="44" t="str">
        <f t="shared" si="151"/>
        <v/>
      </c>
      <c r="L76" s="44" t="str">
        <f t="shared" si="151"/>
        <v/>
      </c>
      <c r="M76" s="44" t="str">
        <f t="shared" si="151"/>
        <v/>
      </c>
      <c r="N76" s="44" t="str">
        <f t="shared" si="151"/>
        <v/>
      </c>
      <c r="O76" s="43" t="str">
        <f>IFERROR(__xludf.DUMMYFUNCTION("IF(COUNTA(J76:N76)=0, """", ARRAYFORMULA(""- ""&amp;TEXTJOIN(char(10)&amp;""- "", TRUE, FILTER(J$1:N$1&amp;"": ""&amp;J76:N76, NOT(ISBLANK(J76:N76))))))"),"")</f>
        <v/>
      </c>
      <c r="P76" s="43" t="s">
        <v>420</v>
      </c>
      <c r="Q76" s="45" t="b">
        <v>1</v>
      </c>
    </row>
    <row r="77">
      <c r="A77" s="34" t="s">
        <v>121</v>
      </c>
      <c r="B77" s="34" t="s">
        <v>122</v>
      </c>
      <c r="C77" s="47"/>
      <c r="D77" s="42" t="b">
        <f t="shared" ref="D77:H77" si="152">VLOOKUP($A77, INDIRECT(D$1&amp;"!A:C"), 3, FALSE)</f>
        <v>1</v>
      </c>
      <c r="E77" s="42" t="str">
        <f t="shared" si="152"/>
        <v>TO DO</v>
      </c>
      <c r="F77" s="42" t="str">
        <f t="shared" si="152"/>
        <v>TO DO</v>
      </c>
      <c r="G77" s="42" t="b">
        <f t="shared" si="152"/>
        <v>1</v>
      </c>
      <c r="H77" s="42" t="b">
        <f t="shared" si="152"/>
        <v>1</v>
      </c>
      <c r="I77" s="43">
        <f t="shared" si="4"/>
        <v>1</v>
      </c>
      <c r="J77" s="44" t="str">
        <f t="shared" ref="J77:N77" si="153">VLOOKUP($A77, INDIRECT(J$1&amp;"!A:D"), 4, FALSE)</f>
        <v/>
      </c>
      <c r="K77" s="44" t="str">
        <f t="shared" si="153"/>
        <v/>
      </c>
      <c r="L77" s="44" t="str">
        <f t="shared" si="153"/>
        <v/>
      </c>
      <c r="M77" s="44" t="str">
        <f t="shared" si="153"/>
        <v/>
      </c>
      <c r="N77" s="44" t="str">
        <f t="shared" si="153"/>
        <v/>
      </c>
      <c r="O77" s="43" t="str">
        <f>IFERROR(__xludf.DUMMYFUNCTION("IF(COUNTA(J77:N77)=0, """", ARRAYFORMULA(""- ""&amp;TEXTJOIN(char(10)&amp;""- "", TRUE, FILTER(J$1:N$1&amp;"": ""&amp;J77:N77, NOT(ISBLANK(J77:N77))))))"),"")</f>
        <v/>
      </c>
      <c r="P77" s="43" t="s">
        <v>420</v>
      </c>
      <c r="Q77" s="45" t="b">
        <v>1</v>
      </c>
    </row>
    <row r="78">
      <c r="A78" s="34" t="s">
        <v>87</v>
      </c>
      <c r="B78" s="34" t="s">
        <v>88</v>
      </c>
      <c r="C78" s="47"/>
      <c r="D78" s="42" t="b">
        <f t="shared" ref="D78:H78" si="154">VLOOKUP($A78, INDIRECT(D$1&amp;"!A:C"), 3, FALSE)</f>
        <v>1</v>
      </c>
      <c r="E78" s="42" t="str">
        <f t="shared" si="154"/>
        <v>TO DO</v>
      </c>
      <c r="F78" s="42" t="str">
        <f t="shared" si="154"/>
        <v>TO DO</v>
      </c>
      <c r="G78" s="42" t="b">
        <f t="shared" si="154"/>
        <v>1</v>
      </c>
      <c r="H78" s="42" t="b">
        <f t="shared" si="154"/>
        <v>1</v>
      </c>
      <c r="I78" s="43">
        <f t="shared" si="4"/>
        <v>1</v>
      </c>
      <c r="J78" s="44" t="str">
        <f t="shared" ref="J78:N78" si="155">VLOOKUP($A78, INDIRECT(J$1&amp;"!A:D"), 4, FALSE)</f>
        <v/>
      </c>
      <c r="K78" s="44" t="str">
        <f t="shared" si="155"/>
        <v/>
      </c>
      <c r="L78" s="44" t="str">
        <f t="shared" si="155"/>
        <v/>
      </c>
      <c r="M78" s="44" t="str">
        <f t="shared" si="155"/>
        <v/>
      </c>
      <c r="N78" s="44">
        <f t="shared" si="155"/>
        <v>4.6</v>
      </c>
      <c r="O78" s="43" t="str">
        <f>IFERROR(__xludf.DUMMYFUNCTION("IF(COUNTA(J78:N78)=0, """", ARRAYFORMULA(""- ""&amp;TEXTJOIN(char(10)&amp;""- "", TRUE, FILTER(J$1:N$1&amp;"": ""&amp;J78:N78, NOT(ISBLANK(J78:N78))))))"),"- Steve: 4.6")</f>
        <v>- Steve: 4.6</v>
      </c>
      <c r="P78" s="43" t="s">
        <v>450</v>
      </c>
      <c r="Q78" s="45" t="b">
        <v>1</v>
      </c>
    </row>
    <row r="79">
      <c r="A79" s="34" t="s">
        <v>211</v>
      </c>
      <c r="B79" s="34" t="s">
        <v>212</v>
      </c>
      <c r="C79" s="46"/>
      <c r="D79" s="42" t="b">
        <f t="shared" ref="D79:H79" si="156">VLOOKUP($A79, INDIRECT(D$1&amp;"!A:C"), 3, FALSE)</f>
        <v>1</v>
      </c>
      <c r="E79" s="42" t="str">
        <f t="shared" si="156"/>
        <v>TO DO</v>
      </c>
      <c r="F79" s="42" t="str">
        <f t="shared" si="156"/>
        <v>TO DO</v>
      </c>
      <c r="G79" s="42" t="b">
        <f t="shared" si="156"/>
        <v>1</v>
      </c>
      <c r="H79" s="42" t="b">
        <f t="shared" si="156"/>
        <v>1</v>
      </c>
      <c r="I79" s="43">
        <f t="shared" si="4"/>
        <v>1</v>
      </c>
      <c r="J79" s="44" t="str">
        <f t="shared" ref="J79:N79" si="157">VLOOKUP($A79, INDIRECT(J$1&amp;"!A:D"), 4, FALSE)</f>
        <v/>
      </c>
      <c r="K79" s="44" t="str">
        <f t="shared" si="157"/>
        <v/>
      </c>
      <c r="L79" s="44" t="str">
        <f t="shared" si="157"/>
        <v/>
      </c>
      <c r="M79" s="44" t="str">
        <f t="shared" si="157"/>
        <v/>
      </c>
      <c r="N79" s="44" t="str">
        <f t="shared" si="157"/>
        <v>Educational equity</v>
      </c>
      <c r="O79" s="43" t="str">
        <f>IFERROR(__xludf.DUMMYFUNCTION("IF(COUNTA(J79:N79)=0, """", ARRAYFORMULA(""- ""&amp;TEXTJOIN(char(10)&amp;""- "", TRUE, FILTER(J$1:N$1&amp;"": ""&amp;J79:N79, NOT(ISBLANK(J79:N79))))))"),"- Steve: Educational equity")</f>
        <v>- Steve: Educational equity</v>
      </c>
      <c r="P79" s="43" t="s">
        <v>451</v>
      </c>
      <c r="Q79" s="45" t="b">
        <v>1</v>
      </c>
    </row>
    <row r="80">
      <c r="A80" s="34" t="s">
        <v>116</v>
      </c>
      <c r="B80" s="34" t="s">
        <v>117</v>
      </c>
      <c r="C80" s="46"/>
      <c r="D80" s="42" t="b">
        <f t="shared" ref="D80:H80" si="158">VLOOKUP($A80, INDIRECT(D$1&amp;"!A:C"), 3, FALSE)</f>
        <v>0</v>
      </c>
      <c r="E80" s="42" t="str">
        <f t="shared" si="158"/>
        <v>TO DO</v>
      </c>
      <c r="F80" s="42" t="str">
        <f t="shared" si="158"/>
        <v>TO DO</v>
      </c>
      <c r="G80" s="42" t="b">
        <f t="shared" si="158"/>
        <v>0</v>
      </c>
      <c r="H80" s="42" t="b">
        <f t="shared" si="158"/>
        <v>0</v>
      </c>
      <c r="I80" s="43">
        <f t="shared" si="4"/>
        <v>1</v>
      </c>
      <c r="J80" s="44" t="str">
        <f t="shared" ref="J80:N80" si="159">VLOOKUP($A80, INDIRECT(J$1&amp;"!A:D"), 4, FALSE)</f>
        <v/>
      </c>
      <c r="K80" s="44" t="str">
        <f t="shared" si="159"/>
        <v/>
      </c>
      <c r="L80" s="44" t="str">
        <f t="shared" si="159"/>
        <v/>
      </c>
      <c r="M80" s="44" t="str">
        <f t="shared" si="159"/>
        <v/>
      </c>
      <c r="N80" s="44" t="str">
        <f t="shared" si="159"/>
        <v/>
      </c>
      <c r="O80" s="43" t="str">
        <f>IFERROR(__xludf.DUMMYFUNCTION("IF(COUNTA(J80:N80)=0, """", ARRAYFORMULA(""- ""&amp;TEXTJOIN(char(10)&amp;""- "", TRUE, FILTER(J$1:N$1&amp;"": ""&amp;J80:N80, NOT(ISBLANK(J80:N80))))))"),"")</f>
        <v/>
      </c>
      <c r="P80" s="43" t="s">
        <v>420</v>
      </c>
      <c r="Q80" s="45" t="b">
        <v>0</v>
      </c>
    </row>
    <row r="81">
      <c r="A81" s="34" t="s">
        <v>256</v>
      </c>
      <c r="B81" s="34" t="s">
        <v>257</v>
      </c>
      <c r="C81" s="7"/>
      <c r="D81" s="42" t="b">
        <f t="shared" ref="D81:H81" si="160">VLOOKUP($A81, INDIRECT(D$1&amp;"!A:C"), 3, FALSE)</f>
        <v>1</v>
      </c>
      <c r="E81" s="42" t="str">
        <f t="shared" si="160"/>
        <v>TO DO</v>
      </c>
      <c r="F81" s="42" t="str">
        <f t="shared" si="160"/>
        <v>TO DO</v>
      </c>
      <c r="G81" s="42" t="b">
        <f t="shared" si="160"/>
        <v>1</v>
      </c>
      <c r="H81" s="42" t="b">
        <f t="shared" si="160"/>
        <v>1</v>
      </c>
      <c r="I81" s="43">
        <f t="shared" si="4"/>
        <v>1</v>
      </c>
      <c r="J81" s="44" t="str">
        <f t="shared" ref="J81:N81" si="161">VLOOKUP($A81, INDIRECT(J$1&amp;"!A:D"), 4, FALSE)</f>
        <v/>
      </c>
      <c r="K81" s="44" t="str">
        <f t="shared" si="161"/>
        <v/>
      </c>
      <c r="L81" s="44" t="str">
        <f t="shared" si="161"/>
        <v/>
      </c>
      <c r="M81" s="44" t="str">
        <f t="shared" si="161"/>
        <v/>
      </c>
      <c r="N81" s="44" t="str">
        <f t="shared" si="161"/>
        <v/>
      </c>
      <c r="O81" s="43" t="str">
        <f>IFERROR(__xludf.DUMMYFUNCTION("IF(COUNTA(J81:N81)=0, """", ARRAYFORMULA(""- ""&amp;TEXTJOIN(char(10)&amp;""- "", TRUE, FILTER(J$1:N$1&amp;"": ""&amp;J81:N81, NOT(ISBLANK(J81:N81))))))"),"")</f>
        <v/>
      </c>
      <c r="P81" s="43" t="s">
        <v>420</v>
      </c>
      <c r="Q81" s="45" t="b">
        <v>1</v>
      </c>
    </row>
    <row r="82">
      <c r="A82" s="34" t="s">
        <v>81</v>
      </c>
      <c r="B82" s="34" t="s">
        <v>82</v>
      </c>
      <c r="C82" s="46"/>
      <c r="D82" s="42" t="b">
        <f t="shared" ref="D82:H82" si="162">VLOOKUP($A82, INDIRECT(D$1&amp;"!A:C"), 3, FALSE)</f>
        <v>0</v>
      </c>
      <c r="E82" s="42" t="str">
        <f t="shared" si="162"/>
        <v>TO DO</v>
      </c>
      <c r="F82" s="42" t="str">
        <f t="shared" si="162"/>
        <v>TO DO</v>
      </c>
      <c r="G82" s="42" t="b">
        <f t="shared" si="162"/>
        <v>0</v>
      </c>
      <c r="H82" s="42" t="b">
        <f t="shared" si="162"/>
        <v>0</v>
      </c>
      <c r="I82" s="43">
        <f t="shared" si="4"/>
        <v>1</v>
      </c>
      <c r="J82" s="44" t="str">
        <f t="shared" ref="J82:N82" si="163">VLOOKUP($A82, INDIRECT(J$1&amp;"!A:D"), 4, FALSE)</f>
        <v/>
      </c>
      <c r="K82" s="44" t="str">
        <f t="shared" si="163"/>
        <v/>
      </c>
      <c r="L82" s="44" t="str">
        <f t="shared" si="163"/>
        <v/>
      </c>
      <c r="M82" s="44" t="str">
        <f t="shared" si="163"/>
        <v/>
      </c>
      <c r="N82" s="44" t="str">
        <f t="shared" si="163"/>
        <v/>
      </c>
      <c r="O82" s="43" t="str">
        <f>IFERROR(__xludf.DUMMYFUNCTION("IF(COUNTA(J82:N82)=0, """", ARRAYFORMULA(""- ""&amp;TEXTJOIN(char(10)&amp;""- "", TRUE, FILTER(J$1:N$1&amp;"": ""&amp;J82:N82, NOT(ISBLANK(J82:N82))))))"),"")</f>
        <v/>
      </c>
      <c r="P82" s="43" t="s">
        <v>420</v>
      </c>
      <c r="Q82" s="45" t="b">
        <v>0</v>
      </c>
    </row>
    <row r="83">
      <c r="A83" s="34" t="s">
        <v>175</v>
      </c>
      <c r="B83" s="34" t="s">
        <v>176</v>
      </c>
      <c r="C83" s="46"/>
      <c r="D83" s="42" t="b">
        <f t="shared" ref="D83:H83" si="164">VLOOKUP($A83, INDIRECT(D$1&amp;"!A:C"), 3, FALSE)</f>
        <v>1</v>
      </c>
      <c r="E83" s="42" t="str">
        <f t="shared" si="164"/>
        <v>TO DO</v>
      </c>
      <c r="F83" s="42" t="str">
        <f t="shared" si="164"/>
        <v>TO DO</v>
      </c>
      <c r="G83" s="42" t="b">
        <f t="shared" si="164"/>
        <v>1</v>
      </c>
      <c r="H83" s="42" t="b">
        <f t="shared" si="164"/>
        <v>1</v>
      </c>
      <c r="I83" s="43">
        <f t="shared" si="4"/>
        <v>1</v>
      </c>
      <c r="J83" s="44" t="str">
        <f t="shared" ref="J83:N83" si="165">VLOOKUP($A83, INDIRECT(J$1&amp;"!A:D"), 4, FALSE)</f>
        <v/>
      </c>
      <c r="K83" s="44" t="str">
        <f t="shared" si="165"/>
        <v/>
      </c>
      <c r="L83" s="44" t="str">
        <f t="shared" si="165"/>
        <v/>
      </c>
      <c r="M83" s="44" t="str">
        <f t="shared" si="165"/>
        <v/>
      </c>
      <c r="N83" s="44" t="str">
        <f t="shared" si="165"/>
        <v/>
      </c>
      <c r="O83" s="43" t="str">
        <f>IFERROR(__xludf.DUMMYFUNCTION("IF(COUNTA(J83:N83)=0, """", ARRAYFORMULA(""- ""&amp;TEXTJOIN(char(10)&amp;""- "", TRUE, FILTER(J$1:N$1&amp;"": ""&amp;J83:N83, NOT(ISBLANK(J83:N83))))))"),"")</f>
        <v/>
      </c>
      <c r="P83" s="43" t="s">
        <v>420</v>
      </c>
      <c r="Q83" s="45" t="b">
        <v>1</v>
      </c>
    </row>
    <row r="84">
      <c r="A84" s="34" t="s">
        <v>114</v>
      </c>
      <c r="B84" s="34" t="s">
        <v>115</v>
      </c>
      <c r="C84" s="47"/>
      <c r="D84" s="42" t="b">
        <f t="shared" ref="D84:H84" si="166">VLOOKUP($A84, INDIRECT(D$1&amp;"!A:C"), 3, FALSE)</f>
        <v>0</v>
      </c>
      <c r="E84" s="42" t="str">
        <f t="shared" si="166"/>
        <v>TO DO</v>
      </c>
      <c r="F84" s="42" t="str">
        <f t="shared" si="166"/>
        <v>TO DO</v>
      </c>
      <c r="G84" s="42" t="b">
        <f t="shared" si="166"/>
        <v>0</v>
      </c>
      <c r="H84" s="42" t="b">
        <f t="shared" si="166"/>
        <v>0</v>
      </c>
      <c r="I84" s="43">
        <f t="shared" si="4"/>
        <v>1</v>
      </c>
      <c r="J84" s="44" t="str">
        <f t="shared" ref="J84:N84" si="167">VLOOKUP($A84, INDIRECT(J$1&amp;"!A:D"), 4, FALSE)</f>
        <v/>
      </c>
      <c r="K84" s="44" t="str">
        <f t="shared" si="167"/>
        <v/>
      </c>
      <c r="L84" s="44" t="str">
        <f t="shared" si="167"/>
        <v/>
      </c>
      <c r="M84" s="44" t="str">
        <f t="shared" si="167"/>
        <v/>
      </c>
      <c r="N84" s="44" t="str">
        <f t="shared" si="167"/>
        <v/>
      </c>
      <c r="O84" s="43" t="str">
        <f>IFERROR(__xludf.DUMMYFUNCTION("IF(COUNTA(J84:N84)=0, """", ARRAYFORMULA(""- ""&amp;TEXTJOIN(char(10)&amp;""- "", TRUE, FILTER(J$1:N$1&amp;"": ""&amp;J84:N84, NOT(ISBLANK(J84:N84))))))"),"")</f>
        <v/>
      </c>
      <c r="P84" s="43" t="s">
        <v>420</v>
      </c>
      <c r="Q84" s="45" t="b">
        <v>0</v>
      </c>
    </row>
    <row r="85" hidden="1">
      <c r="A85" s="34" t="s">
        <v>204</v>
      </c>
      <c r="B85" s="34" t="s">
        <v>205</v>
      </c>
      <c r="C85" s="47" t="s">
        <v>342</v>
      </c>
      <c r="D85" s="42" t="b">
        <f t="shared" ref="D85:H85" si="168">VLOOKUP($A85, INDIRECT(D$1&amp;"!A:C"), 3, FALSE)</f>
        <v>1</v>
      </c>
      <c r="E85" s="42" t="str">
        <f t="shared" si="168"/>
        <v>TO DO</v>
      </c>
      <c r="F85" s="42" t="str">
        <f t="shared" si="168"/>
        <v>TO DO</v>
      </c>
      <c r="G85" s="42" t="b">
        <f t="shared" si="168"/>
        <v>0</v>
      </c>
      <c r="H85" s="42" t="b">
        <f t="shared" si="168"/>
        <v>1</v>
      </c>
      <c r="I85" s="43">
        <f t="shared" si="4"/>
        <v>0.3333333333</v>
      </c>
      <c r="J85" s="44" t="str">
        <f t="shared" ref="J85:N85" si="169">VLOOKUP($A85, INDIRECT(J$1&amp;"!A:D"), 4, FALSE)</f>
        <v/>
      </c>
      <c r="K85" s="44" t="str">
        <f t="shared" si="169"/>
        <v/>
      </c>
      <c r="L85" s="44" t="str">
        <f t="shared" si="169"/>
        <v/>
      </c>
      <c r="M85" s="44" t="str">
        <f t="shared" si="169"/>
        <v/>
      </c>
      <c r="N85" s="44">
        <f t="shared" si="169"/>
        <v>4.7</v>
      </c>
      <c r="O85" s="43" t="str">
        <f>IFERROR(__xludf.DUMMYFUNCTION("IF(COUNTA(J85:N85)=0, """", ARRAYFORMULA(""- ""&amp;TEXTJOIN(char(10)&amp;""- "", TRUE, FILTER(J$1:N$1&amp;"": ""&amp;J85:N85, NOT(ISBLANK(J85:N85))))))"),"- Steve: 4.7")</f>
        <v>- Steve: 4.7</v>
      </c>
      <c r="P85" s="43" t="s">
        <v>452</v>
      </c>
      <c r="Q85" s="45" t="s">
        <v>376</v>
      </c>
    </row>
    <row r="86">
      <c r="A86" s="34" t="s">
        <v>243</v>
      </c>
      <c r="B86" s="34" t="s">
        <v>244</v>
      </c>
      <c r="C86" s="7"/>
      <c r="D86" s="42" t="b">
        <f t="shared" ref="D86:H86" si="170">VLOOKUP($A86, INDIRECT(D$1&amp;"!A:C"), 3, FALSE)</f>
        <v>0</v>
      </c>
      <c r="E86" s="42" t="str">
        <f t="shared" si="170"/>
        <v>TO DO</v>
      </c>
      <c r="F86" s="42" t="str">
        <f t="shared" si="170"/>
        <v>TO DO</v>
      </c>
      <c r="G86" s="42" t="b">
        <f t="shared" si="170"/>
        <v>0</v>
      </c>
      <c r="H86" s="42" t="b">
        <f t="shared" si="170"/>
        <v>0</v>
      </c>
      <c r="I86" s="43">
        <f t="shared" si="4"/>
        <v>1</v>
      </c>
      <c r="J86" s="44" t="str">
        <f t="shared" ref="J86:N86" si="171">VLOOKUP($A86, INDIRECT(J$1&amp;"!A:D"), 4, FALSE)</f>
        <v/>
      </c>
      <c r="K86" s="44" t="str">
        <f t="shared" si="171"/>
        <v/>
      </c>
      <c r="L86" s="44" t="str">
        <f t="shared" si="171"/>
        <v/>
      </c>
      <c r="M86" s="44" t="str">
        <f t="shared" si="171"/>
        <v/>
      </c>
      <c r="N86" s="44" t="str">
        <f t="shared" si="171"/>
        <v/>
      </c>
      <c r="O86" s="43" t="str">
        <f>IFERROR(__xludf.DUMMYFUNCTION("IF(COUNTA(J86:N86)=0, """", ARRAYFORMULA(""- ""&amp;TEXTJOIN(char(10)&amp;""- "", TRUE, FILTER(J$1:N$1&amp;"": ""&amp;J86:N86, NOT(ISBLANK(J86:N86))))))"),"")</f>
        <v/>
      </c>
      <c r="P86" s="43" t="s">
        <v>420</v>
      </c>
      <c r="Q86" s="45" t="b">
        <v>0</v>
      </c>
    </row>
    <row r="87">
      <c r="A87" s="34" t="s">
        <v>161</v>
      </c>
      <c r="B87" s="34" t="s">
        <v>162</v>
      </c>
      <c r="C87" s="7"/>
      <c r="D87" s="42" t="b">
        <f t="shared" ref="D87:H87" si="172">VLOOKUP($A87, INDIRECT(D$1&amp;"!A:C"), 3, FALSE)</f>
        <v>1</v>
      </c>
      <c r="E87" s="42" t="str">
        <f t="shared" si="172"/>
        <v>TO DO</v>
      </c>
      <c r="F87" s="42" t="str">
        <f t="shared" si="172"/>
        <v>TO DO</v>
      </c>
      <c r="G87" s="42" t="b">
        <f t="shared" si="172"/>
        <v>1</v>
      </c>
      <c r="H87" s="42" t="b">
        <f t="shared" si="172"/>
        <v>1</v>
      </c>
      <c r="I87" s="43">
        <f t="shared" si="4"/>
        <v>1</v>
      </c>
      <c r="J87" s="44" t="str">
        <f t="shared" ref="J87:N87" si="173">VLOOKUP($A87, INDIRECT(J$1&amp;"!A:D"), 4, FALSE)</f>
        <v/>
      </c>
      <c r="K87" s="44" t="str">
        <f t="shared" si="173"/>
        <v/>
      </c>
      <c r="L87" s="44" t="str">
        <f t="shared" si="173"/>
        <v/>
      </c>
      <c r="M87" s="44" t="str">
        <f t="shared" si="173"/>
        <v/>
      </c>
      <c r="N87" s="44" t="str">
        <f t="shared" si="173"/>
        <v/>
      </c>
      <c r="O87" s="43" t="str">
        <f>IFERROR(__xludf.DUMMYFUNCTION("IF(COUNTA(J87:N87)=0, """", ARRAYFORMULA(""- ""&amp;TEXTJOIN(char(10)&amp;""- "", TRUE, FILTER(J$1:N$1&amp;"": ""&amp;J87:N87, NOT(ISBLANK(J87:N87))))))"),"")</f>
        <v/>
      </c>
      <c r="P87" s="43" t="s">
        <v>420</v>
      </c>
      <c r="Q87" s="45" t="b">
        <v>1</v>
      </c>
    </row>
    <row r="88">
      <c r="A88" s="34" t="s">
        <v>143</v>
      </c>
      <c r="B88" s="34" t="s">
        <v>144</v>
      </c>
      <c r="C88" s="46"/>
      <c r="D88" s="42" t="b">
        <f t="shared" ref="D88:H88" si="174">VLOOKUP($A88, INDIRECT(D$1&amp;"!A:C"), 3, FALSE)</f>
        <v>0</v>
      </c>
      <c r="E88" s="42" t="str">
        <f t="shared" si="174"/>
        <v>TO DO</v>
      </c>
      <c r="F88" s="42" t="str">
        <f t="shared" si="174"/>
        <v>TO DO</v>
      </c>
      <c r="G88" s="42" t="b">
        <f t="shared" si="174"/>
        <v>0</v>
      </c>
      <c r="H88" s="42" t="b">
        <f t="shared" si="174"/>
        <v>0</v>
      </c>
      <c r="I88" s="43">
        <f t="shared" si="4"/>
        <v>1</v>
      </c>
      <c r="J88" s="44" t="str">
        <f t="shared" ref="J88:N88" si="175">VLOOKUP($A88, INDIRECT(J$1&amp;"!A:D"), 4, FALSE)</f>
        <v/>
      </c>
      <c r="K88" s="44" t="str">
        <f t="shared" si="175"/>
        <v/>
      </c>
      <c r="L88" s="44" t="str">
        <f t="shared" si="175"/>
        <v/>
      </c>
      <c r="M88" s="44" t="str">
        <f t="shared" si="175"/>
        <v/>
      </c>
      <c r="N88" s="44" t="str">
        <f t="shared" si="175"/>
        <v/>
      </c>
      <c r="O88" s="43" t="str">
        <f>IFERROR(__xludf.DUMMYFUNCTION("IF(COUNTA(J88:N88)=0, """", ARRAYFORMULA(""- ""&amp;TEXTJOIN(char(10)&amp;""- "", TRUE, FILTER(J$1:N$1&amp;"": ""&amp;J88:N88, NOT(ISBLANK(J88:N88))))))"),"")</f>
        <v/>
      </c>
      <c r="P88" s="43" t="s">
        <v>420</v>
      </c>
      <c r="Q88" s="45" t="b">
        <v>0</v>
      </c>
    </row>
    <row r="89">
      <c r="A89" s="34" t="s">
        <v>219</v>
      </c>
      <c r="B89" s="34" t="s">
        <v>220</v>
      </c>
      <c r="C89" s="46"/>
      <c r="D89" s="42" t="b">
        <f t="shared" ref="D89:H89" si="176">VLOOKUP($A89, INDIRECT(D$1&amp;"!A:C"), 3, FALSE)</f>
        <v>1</v>
      </c>
      <c r="E89" s="42" t="str">
        <f t="shared" si="176"/>
        <v>TO DO</v>
      </c>
      <c r="F89" s="42" t="str">
        <f t="shared" si="176"/>
        <v>TO DO</v>
      </c>
      <c r="G89" s="42" t="b">
        <f t="shared" si="176"/>
        <v>1</v>
      </c>
      <c r="H89" s="42" t="b">
        <f t="shared" si="176"/>
        <v>1</v>
      </c>
      <c r="I89" s="43">
        <f t="shared" si="4"/>
        <v>1</v>
      </c>
      <c r="J89" s="44" t="str">
        <f t="shared" ref="J89:N89" si="177">VLOOKUP($A89, INDIRECT(J$1&amp;"!A:D"), 4, FALSE)</f>
        <v/>
      </c>
      <c r="K89" s="44" t="str">
        <f t="shared" si="177"/>
        <v/>
      </c>
      <c r="L89" s="44" t="str">
        <f t="shared" si="177"/>
        <v/>
      </c>
      <c r="M89" s="44" t="str">
        <f t="shared" si="177"/>
        <v/>
      </c>
      <c r="N89" s="44" t="str">
        <f t="shared" si="177"/>
        <v/>
      </c>
      <c r="O89" s="43" t="str">
        <f>IFERROR(__xludf.DUMMYFUNCTION("IF(COUNTA(J89:N89)=0, """", ARRAYFORMULA(""- ""&amp;TEXTJOIN(char(10)&amp;""- "", TRUE, FILTER(J$1:N$1&amp;"": ""&amp;J89:N89, NOT(ISBLANK(J89:N89))))))"),"")</f>
        <v/>
      </c>
      <c r="P89" s="43" t="s">
        <v>420</v>
      </c>
      <c r="Q89" s="45" t="b">
        <v>1</v>
      </c>
    </row>
    <row r="90">
      <c r="A90" s="34" t="s">
        <v>270</v>
      </c>
      <c r="B90" s="34" t="s">
        <v>271</v>
      </c>
      <c r="C90" s="47"/>
      <c r="D90" s="42" t="b">
        <f t="shared" ref="D90:H90" si="178">VLOOKUP($A90, INDIRECT(D$1&amp;"!A:C"), 3, FALSE)</f>
        <v>0</v>
      </c>
      <c r="E90" s="42" t="str">
        <f t="shared" si="178"/>
        <v>TO DO</v>
      </c>
      <c r="F90" s="42" t="str">
        <f t="shared" si="178"/>
        <v>TO DO</v>
      </c>
      <c r="G90" s="42" t="b">
        <f t="shared" si="178"/>
        <v>0</v>
      </c>
      <c r="H90" s="42" t="b">
        <f t="shared" si="178"/>
        <v>0</v>
      </c>
      <c r="I90" s="43">
        <f t="shared" si="4"/>
        <v>1</v>
      </c>
      <c r="J90" s="44" t="str">
        <f t="shared" ref="J90:N90" si="179">VLOOKUP($A90, INDIRECT(J$1&amp;"!A:D"), 4, FALSE)</f>
        <v/>
      </c>
      <c r="K90" s="44" t="str">
        <f t="shared" si="179"/>
        <v/>
      </c>
      <c r="L90" s="44" t="str">
        <f t="shared" si="179"/>
        <v/>
      </c>
      <c r="M90" s="44" t="str">
        <f t="shared" si="179"/>
        <v/>
      </c>
      <c r="N90" s="44" t="str">
        <f t="shared" si="179"/>
        <v/>
      </c>
      <c r="O90" s="43" t="str">
        <f>IFERROR(__xludf.DUMMYFUNCTION("IF(COUNTA(J90:N90)=0, """", ARRAYFORMULA(""- ""&amp;TEXTJOIN(char(10)&amp;""- "", TRUE, FILTER(J$1:N$1&amp;"": ""&amp;J90:N90, NOT(ISBLANK(J90:N90))))))"),"")</f>
        <v/>
      </c>
      <c r="P90" s="43" t="s">
        <v>420</v>
      </c>
      <c r="Q90" s="45" t="b">
        <v>0</v>
      </c>
    </row>
    <row r="91" hidden="1">
      <c r="A91" s="34" t="s">
        <v>182</v>
      </c>
      <c r="B91" s="34" t="s">
        <v>183</v>
      </c>
      <c r="C91" s="7" t="s">
        <v>421</v>
      </c>
      <c r="D91" s="42" t="b">
        <f t="shared" ref="D91:H91" si="180">VLOOKUP($A91, INDIRECT(D$1&amp;"!A:C"), 3, FALSE)</f>
        <v>0</v>
      </c>
      <c r="E91" s="42" t="str">
        <f t="shared" si="180"/>
        <v>TO DO</v>
      </c>
      <c r="F91" s="42" t="str">
        <f t="shared" si="180"/>
        <v>TO DO</v>
      </c>
      <c r="G91" s="42" t="b">
        <f t="shared" si="180"/>
        <v>1</v>
      </c>
      <c r="H91" s="42" t="b">
        <f t="shared" si="180"/>
        <v>0</v>
      </c>
      <c r="I91" s="43">
        <f t="shared" si="4"/>
        <v>0.3333333333</v>
      </c>
      <c r="J91" s="44" t="str">
        <f t="shared" ref="J91:N91" si="181">VLOOKUP($A91, INDIRECT(J$1&amp;"!A:D"), 4, FALSE)</f>
        <v>not enough context</v>
      </c>
      <c r="K91" s="44" t="str">
        <f t="shared" si="181"/>
        <v/>
      </c>
      <c r="L91" s="44" t="str">
        <f t="shared" si="181"/>
        <v/>
      </c>
      <c r="M91" s="44" t="str">
        <f t="shared" si="181"/>
        <v/>
      </c>
      <c r="N91" s="44" t="str">
        <f t="shared" si="181"/>
        <v>only vaguely linked to 4.5</v>
      </c>
      <c r="O91" s="43" t="str">
        <f>IFERROR(__xludf.DUMMYFUNCTION("IF(COUNTA(J91:N91)=0, """", ARRAYFORMULA(""- ""&amp;TEXTJOIN(char(10)&amp;""- "", TRUE, FILTER(J$1:N$1&amp;"": ""&amp;J91:N91, NOT(ISBLANK(J91:N91))))))"),"- Finn: not enough context
- Steve: only vaguely linked to 4.5")</f>
        <v>- Finn: not enough context
- Steve: only vaguely linked to 4.5</v>
      </c>
      <c r="P91" s="43" t="s">
        <v>453</v>
      </c>
      <c r="Q91" s="45" t="s">
        <v>376</v>
      </c>
    </row>
    <row r="92">
      <c r="A92" s="34" t="s">
        <v>78</v>
      </c>
      <c r="B92" s="34" t="s">
        <v>79</v>
      </c>
      <c r="C92" s="42"/>
      <c r="D92" s="42" t="b">
        <f t="shared" ref="D92:H92" si="182">VLOOKUP($A92, INDIRECT(D$1&amp;"!A:C"), 3, FALSE)</f>
        <v>1</v>
      </c>
      <c r="E92" s="42" t="str">
        <f t="shared" si="182"/>
        <v>TO DO</v>
      </c>
      <c r="F92" s="42" t="str">
        <f t="shared" si="182"/>
        <v>TO DO</v>
      </c>
      <c r="G92" s="42" t="b">
        <f t="shared" si="182"/>
        <v>1</v>
      </c>
      <c r="H92" s="42" t="b">
        <f t="shared" si="182"/>
        <v>1</v>
      </c>
      <c r="I92" s="43">
        <f t="shared" si="4"/>
        <v>1</v>
      </c>
      <c r="J92" s="44" t="str">
        <f t="shared" ref="J92:N92" si="183">VLOOKUP($A92, INDIRECT(J$1&amp;"!A:D"), 4, FALSE)</f>
        <v>target 4.b (weak)</v>
      </c>
      <c r="K92" s="44" t="str">
        <f t="shared" si="183"/>
        <v/>
      </c>
      <c r="L92" s="44" t="str">
        <f t="shared" si="183"/>
        <v/>
      </c>
      <c r="M92" s="44" t="str">
        <f t="shared" si="183"/>
        <v/>
      </c>
      <c r="N92" s="44" t="str">
        <f t="shared" si="183"/>
        <v/>
      </c>
      <c r="O92" s="43" t="str">
        <f>IFERROR(__xludf.DUMMYFUNCTION("IF(COUNTA(J92:N92)=0, """", ARRAYFORMULA(""- ""&amp;TEXTJOIN(char(10)&amp;""- "", TRUE, FILTER(J$1:N$1&amp;"": ""&amp;J92:N92, NOT(ISBLANK(J92:N92))))))"),"- Finn: target 4.b (weak)")</f>
        <v>- Finn: target 4.b (weak)</v>
      </c>
      <c r="P92" s="43" t="s">
        <v>454</v>
      </c>
      <c r="Q92" s="45" t="b">
        <v>1</v>
      </c>
    </row>
    <row r="93" hidden="1">
      <c r="A93" s="34" t="s">
        <v>149</v>
      </c>
      <c r="B93" s="34" t="s">
        <v>150</v>
      </c>
      <c r="C93" s="7" t="s">
        <v>421</v>
      </c>
      <c r="D93" s="42" t="b">
        <f t="shared" ref="D93:H93" si="184">VLOOKUP($A93, INDIRECT(D$1&amp;"!A:C"), 3, FALSE)</f>
        <v>0</v>
      </c>
      <c r="E93" s="42" t="str">
        <f t="shared" si="184"/>
        <v>TO DO</v>
      </c>
      <c r="F93" s="42" t="str">
        <f t="shared" si="184"/>
        <v>TO DO</v>
      </c>
      <c r="G93" s="42" t="b">
        <f t="shared" si="184"/>
        <v>0</v>
      </c>
      <c r="H93" s="42" t="b">
        <f t="shared" si="184"/>
        <v>1</v>
      </c>
      <c r="I93" s="43">
        <f t="shared" si="4"/>
        <v>0.3333333333</v>
      </c>
      <c r="J93" s="44" t="str">
        <f t="shared" ref="J93:N93" si="185">VLOOKUP($A93, INDIRECT(J$1&amp;"!A:D"), 4, FALSE)</f>
        <v/>
      </c>
      <c r="K93" s="44" t="str">
        <f t="shared" si="185"/>
        <v/>
      </c>
      <c r="L93" s="44" t="str">
        <f t="shared" si="185"/>
        <v/>
      </c>
      <c r="M93" s="44" t="str">
        <f t="shared" si="185"/>
        <v/>
      </c>
      <c r="N93" s="44" t="str">
        <f t="shared" si="185"/>
        <v>relevant skills for employment</v>
      </c>
      <c r="O93" s="43" t="str">
        <f>IFERROR(__xludf.DUMMYFUNCTION("IF(COUNTA(J93:N93)=0, """", ARRAYFORMULA(""- ""&amp;TEXTJOIN(char(10)&amp;""- "", TRUE, FILTER(J$1:N$1&amp;"": ""&amp;J93:N93, NOT(ISBLANK(J93:N93))))))"),"- Steve: relevant skills for employment")</f>
        <v>- Steve: relevant skills for employment</v>
      </c>
      <c r="P93" s="43" t="s">
        <v>455</v>
      </c>
      <c r="Q93" s="45" t="s">
        <v>376</v>
      </c>
    </row>
    <row r="94">
      <c r="A94" s="34" t="s">
        <v>167</v>
      </c>
      <c r="B94" s="34" t="s">
        <v>168</v>
      </c>
      <c r="C94" s="42"/>
      <c r="D94" s="42" t="b">
        <f t="shared" ref="D94:H94" si="186">VLOOKUP($A94, INDIRECT(D$1&amp;"!A:C"), 3, FALSE)</f>
        <v>1</v>
      </c>
      <c r="E94" s="42" t="str">
        <f t="shared" si="186"/>
        <v>TO DO</v>
      </c>
      <c r="F94" s="42" t="str">
        <f t="shared" si="186"/>
        <v>TO DO</v>
      </c>
      <c r="G94" s="42" t="b">
        <f t="shared" si="186"/>
        <v>1</v>
      </c>
      <c r="H94" s="42" t="b">
        <f t="shared" si="186"/>
        <v>1</v>
      </c>
      <c r="I94" s="43">
        <f t="shared" si="4"/>
        <v>1</v>
      </c>
      <c r="J94" s="44" t="str">
        <f t="shared" ref="J94:N94" si="187">VLOOKUP($A94, INDIRECT(J$1&amp;"!A:D"), 4, FALSE)</f>
        <v/>
      </c>
      <c r="K94" s="44" t="str">
        <f t="shared" si="187"/>
        <v/>
      </c>
      <c r="L94" s="44" t="str">
        <f t="shared" si="187"/>
        <v/>
      </c>
      <c r="M94" s="44" t="str">
        <f t="shared" si="187"/>
        <v>it is about scholarships but not really for developing countries (target 4a)</v>
      </c>
      <c r="N94" s="44" t="str">
        <f t="shared" si="187"/>
        <v>4.b, though not strictly in deverloping countries context</v>
      </c>
      <c r="O94" s="43" t="str">
        <f>IFERROR(__xludf.DUMMYFUNCTION("IF(COUNTA(J94:N94)=0, """", ARRAYFORMULA(""- ""&amp;TEXTJOIN(char(10)&amp;""- "", TRUE, FILTER(J$1:N$1&amp;"": ""&amp;J94:N94, NOT(ISBLANK(J94:N94))))))"),"- Meike: it is about scholarships but not really for developing countries (target 4a)
- Steve: 4.b, though not strictly in deverloping countries context")</f>
        <v>- Meike: it is about scholarships but not really for developing countries (target 4a)
- Steve: 4.b, though not strictly in deverloping countries context</v>
      </c>
      <c r="P94" s="43" t="s">
        <v>456</v>
      </c>
      <c r="Q94" s="45" t="b">
        <v>1</v>
      </c>
    </row>
    <row r="95">
      <c r="A95" s="34" t="s">
        <v>76</v>
      </c>
      <c r="B95" s="34" t="s">
        <v>77</v>
      </c>
      <c r="C95" s="7"/>
      <c r="D95" s="42" t="b">
        <f t="shared" ref="D95:H95" si="188">VLOOKUP($A95, INDIRECT(D$1&amp;"!A:C"), 3, FALSE)</f>
        <v>1</v>
      </c>
      <c r="E95" s="42" t="str">
        <f t="shared" si="188"/>
        <v>TO DO</v>
      </c>
      <c r="F95" s="42" t="str">
        <f t="shared" si="188"/>
        <v>TO DO</v>
      </c>
      <c r="G95" s="42" t="b">
        <f t="shared" si="188"/>
        <v>1</v>
      </c>
      <c r="H95" s="42" t="b">
        <f t="shared" si="188"/>
        <v>1</v>
      </c>
      <c r="I95" s="43">
        <f t="shared" si="4"/>
        <v>1</v>
      </c>
      <c r="J95" s="44" t="str">
        <f t="shared" ref="J95:N95" si="189">VLOOKUP($A95, INDIRECT(J$1&amp;"!A:D"), 4, FALSE)</f>
        <v/>
      </c>
      <c r="K95" s="44" t="str">
        <f t="shared" si="189"/>
        <v/>
      </c>
      <c r="L95" s="44" t="str">
        <f t="shared" si="189"/>
        <v/>
      </c>
      <c r="M95" s="44" t="str">
        <f t="shared" si="189"/>
        <v/>
      </c>
      <c r="N95" s="44" t="str">
        <f t="shared" si="189"/>
        <v/>
      </c>
      <c r="O95" s="43" t="str">
        <f>IFERROR(__xludf.DUMMYFUNCTION("IF(COUNTA(J95:N95)=0, """", ARRAYFORMULA(""- ""&amp;TEXTJOIN(char(10)&amp;""- "", TRUE, FILTER(J$1:N$1&amp;"": ""&amp;J95:N95, NOT(ISBLANK(J95:N95))))))"),"")</f>
        <v/>
      </c>
      <c r="P95" s="43" t="s">
        <v>420</v>
      </c>
      <c r="Q95" s="45" t="b">
        <v>1</v>
      </c>
    </row>
    <row r="96">
      <c r="A96" s="34" t="s">
        <v>200</v>
      </c>
      <c r="B96" s="34" t="s">
        <v>201</v>
      </c>
      <c r="C96" s="47"/>
      <c r="D96" s="42" t="b">
        <f t="shared" ref="D96:H96" si="190">VLOOKUP($A96, INDIRECT(D$1&amp;"!A:C"), 3, FALSE)</f>
        <v>0</v>
      </c>
      <c r="E96" s="42" t="str">
        <f t="shared" si="190"/>
        <v>TO DO</v>
      </c>
      <c r="F96" s="42" t="str">
        <f t="shared" si="190"/>
        <v>TO DO</v>
      </c>
      <c r="G96" s="42" t="b">
        <f t="shared" si="190"/>
        <v>0</v>
      </c>
      <c r="H96" s="42" t="b">
        <f t="shared" si="190"/>
        <v>0</v>
      </c>
      <c r="I96" s="43">
        <f t="shared" si="4"/>
        <v>1</v>
      </c>
      <c r="J96" s="44" t="str">
        <f t="shared" ref="J96:N96" si="191">VLOOKUP($A96, INDIRECT(J$1&amp;"!A:D"), 4, FALSE)</f>
        <v/>
      </c>
      <c r="K96" s="44" t="str">
        <f t="shared" si="191"/>
        <v/>
      </c>
      <c r="L96" s="44" t="str">
        <f t="shared" si="191"/>
        <v/>
      </c>
      <c r="M96" s="44" t="str">
        <f t="shared" si="191"/>
        <v/>
      </c>
      <c r="N96" s="44" t="str">
        <f t="shared" si="191"/>
        <v>more on 9.5</v>
      </c>
      <c r="O96" s="43" t="str">
        <f>IFERROR(__xludf.DUMMYFUNCTION("IF(COUNTA(J96:N96)=0, """", ARRAYFORMULA(""- ""&amp;TEXTJOIN(char(10)&amp;""- "", TRUE, FILTER(J$1:N$1&amp;"": ""&amp;J96:N96, NOT(ISBLANK(J96:N96))))))"),"- Steve: more on 9.5")</f>
        <v>- Steve: more on 9.5</v>
      </c>
      <c r="P96" s="43" t="s">
        <v>457</v>
      </c>
      <c r="Q96" s="45" t="b">
        <v>0</v>
      </c>
    </row>
    <row r="97">
      <c r="A97" s="34" t="s">
        <v>239</v>
      </c>
      <c r="B97" s="34" t="s">
        <v>240</v>
      </c>
      <c r="C97" s="46"/>
      <c r="D97" s="42" t="b">
        <f t="shared" ref="D97:H97" si="192">VLOOKUP($A97, INDIRECT(D$1&amp;"!A:C"), 3, FALSE)</f>
        <v>1</v>
      </c>
      <c r="E97" s="42" t="str">
        <f t="shared" si="192"/>
        <v>TO DO</v>
      </c>
      <c r="F97" s="42" t="str">
        <f t="shared" si="192"/>
        <v>TO DO</v>
      </c>
      <c r="G97" s="42" t="b">
        <f t="shared" si="192"/>
        <v>1</v>
      </c>
      <c r="H97" s="42" t="b">
        <f t="shared" si="192"/>
        <v>1</v>
      </c>
      <c r="I97" s="43">
        <f t="shared" si="4"/>
        <v>1</v>
      </c>
      <c r="J97" s="44" t="str">
        <f t="shared" ref="J97:N97" si="193">VLOOKUP($A97, INDIRECT(J$1&amp;"!A:D"), 4, FALSE)</f>
        <v/>
      </c>
      <c r="K97" s="44" t="str">
        <f t="shared" si="193"/>
        <v/>
      </c>
      <c r="L97" s="44" t="str">
        <f t="shared" si="193"/>
        <v/>
      </c>
      <c r="M97" s="44" t="str">
        <f t="shared" si="193"/>
        <v/>
      </c>
      <c r="N97" s="44" t="str">
        <f t="shared" si="193"/>
        <v/>
      </c>
      <c r="O97" s="43" t="str">
        <f>IFERROR(__xludf.DUMMYFUNCTION("IF(COUNTA(J97:N97)=0, """", ARRAYFORMULA(""- ""&amp;TEXTJOIN(char(10)&amp;""- "", TRUE, FILTER(J$1:N$1&amp;"": ""&amp;J97:N97, NOT(ISBLANK(J97:N97))))))"),"")</f>
        <v/>
      </c>
      <c r="P97" s="43" t="s">
        <v>420</v>
      </c>
      <c r="Q97" s="45" t="b">
        <v>1</v>
      </c>
    </row>
    <row r="98">
      <c r="A98" s="34" t="s">
        <v>241</v>
      </c>
      <c r="B98" s="34" t="s">
        <v>242</v>
      </c>
      <c r="C98" s="47"/>
      <c r="D98" s="42" t="b">
        <f t="shared" ref="D98:H98" si="194">VLOOKUP($A98, INDIRECT(D$1&amp;"!A:C"), 3, FALSE)</f>
        <v>0</v>
      </c>
      <c r="E98" s="42" t="str">
        <f t="shared" si="194"/>
        <v>TO DO</v>
      </c>
      <c r="F98" s="42" t="str">
        <f t="shared" si="194"/>
        <v>TO DO</v>
      </c>
      <c r="G98" s="42" t="b">
        <f t="shared" si="194"/>
        <v>0</v>
      </c>
      <c r="H98" s="42" t="b">
        <f t="shared" si="194"/>
        <v>0</v>
      </c>
      <c r="I98" s="43">
        <f t="shared" si="4"/>
        <v>1</v>
      </c>
      <c r="J98" s="44" t="str">
        <f t="shared" ref="J98:N98" si="195">VLOOKUP($A98, INDIRECT(J$1&amp;"!A:D"), 4, FALSE)</f>
        <v/>
      </c>
      <c r="K98" s="44" t="str">
        <f t="shared" si="195"/>
        <v/>
      </c>
      <c r="L98" s="44" t="str">
        <f t="shared" si="195"/>
        <v/>
      </c>
      <c r="M98" s="44" t="str">
        <f t="shared" si="195"/>
        <v/>
      </c>
      <c r="N98" s="44" t="str">
        <f t="shared" si="195"/>
        <v/>
      </c>
      <c r="O98" s="43" t="str">
        <f>IFERROR(__xludf.DUMMYFUNCTION("IF(COUNTA(J98:N98)=0, """", ARRAYFORMULA(""- ""&amp;TEXTJOIN(char(10)&amp;""- "", TRUE, FILTER(J$1:N$1&amp;"": ""&amp;J98:N98, NOT(ISBLANK(J98:N98))))))"),"")</f>
        <v/>
      </c>
      <c r="P98" s="43" t="s">
        <v>420</v>
      </c>
      <c r="Q98" s="45" t="b">
        <v>0</v>
      </c>
    </row>
    <row r="99">
      <c r="A99" s="34" t="s">
        <v>118</v>
      </c>
      <c r="B99" s="34" t="s">
        <v>119</v>
      </c>
      <c r="C99" s="46"/>
      <c r="D99" s="42" t="b">
        <f t="shared" ref="D99:H99" si="196">VLOOKUP($A99, INDIRECT(D$1&amp;"!A:C"), 3, FALSE)</f>
        <v>1</v>
      </c>
      <c r="E99" s="42" t="str">
        <f t="shared" si="196"/>
        <v>TO DO</v>
      </c>
      <c r="F99" s="42" t="str">
        <f t="shared" si="196"/>
        <v>TO DO</v>
      </c>
      <c r="G99" s="42" t="b">
        <f t="shared" si="196"/>
        <v>1</v>
      </c>
      <c r="H99" s="42" t="b">
        <f t="shared" si="196"/>
        <v>1</v>
      </c>
      <c r="I99" s="43">
        <f t="shared" si="4"/>
        <v>1</v>
      </c>
      <c r="J99" s="44" t="str">
        <f t="shared" ref="J99:N99" si="197">VLOOKUP($A99, INDIRECT(J$1&amp;"!A:D"), 4, FALSE)</f>
        <v>target 4.c (negative example)</v>
      </c>
      <c r="K99" s="44" t="str">
        <f t="shared" si="197"/>
        <v/>
      </c>
      <c r="L99" s="44" t="str">
        <f t="shared" si="197"/>
        <v/>
      </c>
      <c r="M99" s="44" t="str">
        <f t="shared" si="197"/>
        <v/>
      </c>
      <c r="N99" s="44" t="str">
        <f t="shared" si="197"/>
        <v/>
      </c>
      <c r="O99" s="43" t="str">
        <f>IFERROR(__xludf.DUMMYFUNCTION("IF(COUNTA(J99:N99)=0, """", ARRAYFORMULA(""- ""&amp;TEXTJOIN(char(10)&amp;""- "", TRUE, FILTER(J$1:N$1&amp;"": ""&amp;J99:N99, NOT(ISBLANK(J99:N99))))))"),"- Finn: target 4.c (negative example)")</f>
        <v>- Finn: target 4.c (negative example)</v>
      </c>
      <c r="P99" s="43" t="s">
        <v>458</v>
      </c>
      <c r="Q99" s="45" t="b">
        <v>1</v>
      </c>
    </row>
    <row r="100" hidden="1">
      <c r="A100" s="34" t="s">
        <v>163</v>
      </c>
      <c r="B100" s="34" t="s">
        <v>164</v>
      </c>
      <c r="C100" s="7" t="s">
        <v>421</v>
      </c>
      <c r="D100" s="42" t="b">
        <f t="shared" ref="D100:H100" si="198">VLOOKUP($A100, INDIRECT(D$1&amp;"!A:C"), 3, FALSE)</f>
        <v>0</v>
      </c>
      <c r="E100" s="42" t="str">
        <f t="shared" si="198"/>
        <v>TO DO</v>
      </c>
      <c r="F100" s="42" t="str">
        <f t="shared" si="198"/>
        <v>TO DO</v>
      </c>
      <c r="G100" s="42" t="b">
        <f t="shared" si="198"/>
        <v>1</v>
      </c>
      <c r="H100" s="42" t="b">
        <f t="shared" si="198"/>
        <v>1</v>
      </c>
      <c r="I100" s="43">
        <f t="shared" si="4"/>
        <v>0.3333333333</v>
      </c>
      <c r="J100" s="44" t="str">
        <f t="shared" ref="J100:N100" si="199">VLOOKUP($A100, INDIRECT(J$1&amp;"!A:D"), 4, FALSE)</f>
        <v/>
      </c>
      <c r="K100" s="44" t="str">
        <f t="shared" si="199"/>
        <v/>
      </c>
      <c r="L100" s="44" t="str">
        <f t="shared" si="199"/>
        <v/>
      </c>
      <c r="M100" s="44" t="str">
        <f t="shared" si="199"/>
        <v/>
      </c>
      <c r="N100" s="44" t="str">
        <f t="shared" si="199"/>
        <v/>
      </c>
      <c r="O100" s="43" t="str">
        <f>IFERROR(__xludf.DUMMYFUNCTION("IF(COUNTA(J100:N100)=0, """", ARRAYFORMULA(""- ""&amp;TEXTJOIN(char(10)&amp;""- "", TRUE, FILTER(J$1:N$1&amp;"": ""&amp;J100:N100, NOT(ISBLANK(J100:N100))))))"),"")</f>
        <v/>
      </c>
      <c r="P100" s="43" t="s">
        <v>420</v>
      </c>
      <c r="Q100" s="45" t="s">
        <v>376</v>
      </c>
    </row>
    <row r="101">
      <c r="A101" s="34" t="s">
        <v>187</v>
      </c>
      <c r="B101" s="34" t="s">
        <v>188</v>
      </c>
      <c r="C101" s="47"/>
      <c r="D101" s="42" t="b">
        <f t="shared" ref="D101:H101" si="200">VLOOKUP($A101, INDIRECT(D$1&amp;"!A:C"), 3, FALSE)</f>
        <v>1</v>
      </c>
      <c r="E101" s="42" t="str">
        <f t="shared" si="200"/>
        <v>TO DO</v>
      </c>
      <c r="F101" s="42" t="str">
        <f t="shared" si="200"/>
        <v>TO DO</v>
      </c>
      <c r="G101" s="42" t="b">
        <f t="shared" si="200"/>
        <v>1</v>
      </c>
      <c r="H101" s="42" t="b">
        <f t="shared" si="200"/>
        <v>1</v>
      </c>
      <c r="I101" s="43">
        <f t="shared" si="4"/>
        <v>1</v>
      </c>
      <c r="J101" s="44" t="str">
        <f t="shared" ref="J101:N101" si="201">VLOOKUP($A101, INDIRECT(J$1&amp;"!A:D"), 4, FALSE)</f>
        <v/>
      </c>
      <c r="K101" s="44" t="str">
        <f t="shared" si="201"/>
        <v/>
      </c>
      <c r="L101" s="44" t="str">
        <f t="shared" si="201"/>
        <v/>
      </c>
      <c r="M101" s="44" t="str">
        <f t="shared" si="201"/>
        <v/>
      </c>
      <c r="N101" s="44" t="str">
        <f t="shared" si="201"/>
        <v/>
      </c>
      <c r="O101" s="43" t="str">
        <f>IFERROR(__xludf.DUMMYFUNCTION("IF(COUNTA(J101:N101)=0, """", ARRAYFORMULA(""- ""&amp;TEXTJOIN(char(10)&amp;""- "", TRUE, FILTER(J$1:N$1&amp;"": ""&amp;J101:N101, NOT(ISBLANK(J101:N101))))))"),"")</f>
        <v/>
      </c>
      <c r="P101" s="43" t="s">
        <v>420</v>
      </c>
      <c r="Q101" s="45" t="b">
        <v>1</v>
      </c>
    </row>
  </sheetData>
  <autoFilter ref="$A$1:$S$101">
    <filterColumn colId="16">
      <filters>
        <filter val="TRUE"/>
        <filter val="FALSE"/>
      </filters>
    </filterColumn>
  </autoFilter>
  <conditionalFormatting sqref="C2:P101">
    <cfRule type="cellIs" dxfId="0" priority="1" operator="equal">
      <formula>"TRUE"</formula>
    </cfRule>
  </conditionalFormatting>
  <conditionalFormatting sqref="C2:P101">
    <cfRule type="beginsWith" dxfId="1" priority="2" operator="beginsWith" text="FALSE">
      <formula>LEFT((C2),LEN("FALSE"))=("FALSE")</formula>
    </cfRule>
  </conditionalFormatting>
  <conditionalFormatting sqref="C2:P101">
    <cfRule type="cellIs" dxfId="2" priority="3" operator="equal">
      <formula>"TO DO"</formula>
    </cfRule>
  </conditionalFormatting>
  <conditionalFormatting sqref="C2:P101">
    <cfRule type="cellIs" dxfId="3" priority="4" operator="equal">
      <formula>"SKIP"</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5" max="5" width="15.0"/>
    <col customWidth="1" min="6" max="6" width="26.38"/>
  </cols>
  <sheetData>
    <row r="1">
      <c r="A1" s="19" t="s">
        <v>459</v>
      </c>
      <c r="B1" s="19" t="s">
        <v>312</v>
      </c>
      <c r="C1" s="19" t="s">
        <v>313</v>
      </c>
      <c r="D1" s="19" t="s">
        <v>318</v>
      </c>
      <c r="E1" s="19" t="s">
        <v>460</v>
      </c>
      <c r="F1" s="19" t="s">
        <v>310</v>
      </c>
      <c r="G1" s="19" t="s">
        <v>461</v>
      </c>
    </row>
    <row r="2">
      <c r="A2" s="17" t="str">
        <f t="shared" ref="A2:A83" si="1">LEFT(MD5(B2), 7)</f>
        <v>#NAME?</v>
      </c>
      <c r="B2" s="48" t="s">
        <v>462</v>
      </c>
      <c r="C2" s="5">
        <v>4.0</v>
      </c>
      <c r="D2" s="5" t="b">
        <v>0</v>
      </c>
      <c r="E2" s="34" t="s">
        <v>268</v>
      </c>
      <c r="F2" s="17" t="str">
        <f t="array" ref="F2">VLOOKUP(E2,{Source!B:B,Source!A:A},2,FALSE)</f>
        <v>10.18356/0ceb7e87-en</v>
      </c>
      <c r="G2" s="5" t="s">
        <v>463</v>
      </c>
    </row>
    <row r="3">
      <c r="A3" s="17" t="str">
        <f t="shared" si="1"/>
        <v>#NAME?</v>
      </c>
      <c r="B3" s="34" t="s">
        <v>203</v>
      </c>
      <c r="C3" s="5">
        <v>4.0</v>
      </c>
      <c r="D3" s="5" t="b">
        <v>0</v>
      </c>
      <c r="E3" s="34" t="s">
        <v>202</v>
      </c>
      <c r="F3" s="17" t="str">
        <f t="array" ref="F3">VLOOKUP(E3,{Source!B:B,Source!A:A},2,FALSE)</f>
        <v>10.1787/9789264089457-en</v>
      </c>
    </row>
    <row r="4">
      <c r="A4" s="17" t="str">
        <f t="shared" si="1"/>
        <v>#NAME?</v>
      </c>
      <c r="B4" s="34" t="s">
        <v>273</v>
      </c>
      <c r="C4" s="5">
        <v>4.0</v>
      </c>
      <c r="D4" s="5" t="b">
        <v>0</v>
      </c>
      <c r="E4" s="34" t="s">
        <v>272</v>
      </c>
      <c r="F4" s="17" t="str">
        <f t="array" ref="F4">VLOOKUP(E4,{Source!B:B,Source!A:A},2,FALSE)</f>
        <v>10.1787/9789264089464-en</v>
      </c>
    </row>
    <row r="5">
      <c r="A5" s="17" t="str">
        <f t="shared" si="1"/>
        <v>#NAME?</v>
      </c>
      <c r="B5" s="34" t="s">
        <v>140</v>
      </c>
      <c r="C5" s="5">
        <v>4.0</v>
      </c>
      <c r="D5" s="5" t="b">
        <v>0</v>
      </c>
      <c r="E5" s="34" t="s">
        <v>139</v>
      </c>
      <c r="F5" s="17" t="str">
        <f t="array" ref="F5">VLOOKUP(E5,{Source!B:B,Source!A:A},2,FALSE)</f>
        <v>10.1787/9789264089457-en</v>
      </c>
    </row>
    <row r="6">
      <c r="A6" s="17" t="str">
        <f t="shared" si="1"/>
        <v>#NAME?</v>
      </c>
      <c r="B6" s="34" t="s">
        <v>172</v>
      </c>
      <c r="C6" s="5">
        <v>4.0</v>
      </c>
      <c r="D6" s="5" t="b">
        <v>0</v>
      </c>
      <c r="E6" s="34" t="s">
        <v>171</v>
      </c>
      <c r="F6" s="17" t="str">
        <f t="array" ref="F6">VLOOKUP(E6,{Source!B:B,Source!A:A},2,FALSE)</f>
        <v>10.1787/eco/surveys-cze-2014-6-en</v>
      </c>
    </row>
    <row r="7">
      <c r="A7" s="17" t="str">
        <f t="shared" si="1"/>
        <v>#NAME?</v>
      </c>
      <c r="B7" s="34" t="s">
        <v>259</v>
      </c>
      <c r="C7" s="5">
        <v>4.0</v>
      </c>
      <c r="D7" s="5" t="b">
        <v>1</v>
      </c>
      <c r="E7" s="34" t="s">
        <v>258</v>
      </c>
      <c r="F7" s="17" t="str">
        <f t="array" ref="F7">VLOOKUP(E7,{Source!B:B,Source!A:A},2,FALSE)</f>
        <v>10.1787/9789264245891-7-en</v>
      </c>
    </row>
    <row r="8">
      <c r="A8" s="17" t="str">
        <f t="shared" si="1"/>
        <v>#NAME?</v>
      </c>
      <c r="B8" s="34" t="s">
        <v>222</v>
      </c>
      <c r="C8" s="5">
        <v>4.0</v>
      </c>
      <c r="D8" s="5" t="b">
        <v>1</v>
      </c>
      <c r="E8" s="34" t="s">
        <v>221</v>
      </c>
      <c r="F8" s="17" t="str">
        <f t="array" ref="F8">VLOOKUP(E8,{Source!B:B,Source!A:A},2,FALSE)</f>
        <v>10.1787/9789264214682-3-en</v>
      </c>
    </row>
    <row r="9">
      <c r="A9" s="17" t="str">
        <f t="shared" si="1"/>
        <v>#NAME?</v>
      </c>
      <c r="B9" s="34" t="s">
        <v>232</v>
      </c>
      <c r="C9" s="5">
        <v>4.0</v>
      </c>
      <c r="D9" s="5" t="b">
        <v>1</v>
      </c>
      <c r="E9" s="34" t="s">
        <v>231</v>
      </c>
      <c r="F9" s="17" t="str">
        <f t="array" ref="F9">VLOOKUP(E9,{Source!B:B,Source!A:A},2,FALSE)</f>
        <v>10.1787/9789264089457-en</v>
      </c>
    </row>
    <row r="10">
      <c r="A10" s="17" t="str">
        <f t="shared" si="1"/>
        <v>#NAME?</v>
      </c>
      <c r="B10" s="34" t="s">
        <v>94</v>
      </c>
      <c r="C10" s="5">
        <v>4.0</v>
      </c>
      <c r="D10" s="5" t="b">
        <v>1</v>
      </c>
      <c r="E10" s="34" t="s">
        <v>93</v>
      </c>
      <c r="F10" s="17" t="str">
        <f t="array" ref="F10">VLOOKUP(E10,{Source!B:B,Source!A:A},2,FALSE)</f>
        <v>10.1787/9789264267886-en</v>
      </c>
    </row>
    <row r="11">
      <c r="A11" s="17" t="str">
        <f t="shared" si="1"/>
        <v>#NAME?</v>
      </c>
      <c r="B11" s="34" t="s">
        <v>138</v>
      </c>
      <c r="C11" s="5">
        <v>4.0</v>
      </c>
      <c r="D11" s="5" t="b">
        <v>1</v>
      </c>
      <c r="E11" s="34" t="s">
        <v>137</v>
      </c>
      <c r="F11" s="17" t="str">
        <f t="array" ref="F11">VLOOKUP(E11,{Source!B:B,Source!A:A},2,FALSE)</f>
        <v>10.1787/9789264225442-21-en</v>
      </c>
    </row>
    <row r="12">
      <c r="A12" s="17" t="str">
        <f t="shared" si="1"/>
        <v>#NAME?</v>
      </c>
      <c r="B12" s="34" t="s">
        <v>133</v>
      </c>
      <c r="C12" s="5">
        <v>4.0</v>
      </c>
      <c r="D12" s="5" t="b">
        <v>1</v>
      </c>
      <c r="E12" s="34" t="s">
        <v>132</v>
      </c>
      <c r="F12" s="17" t="str">
        <f t="array" ref="F12">VLOOKUP(E12,{Source!B:B,Source!A:A},2,FALSE)</f>
        <v>10.1787/9789264277335-4-en</v>
      </c>
    </row>
    <row r="13">
      <c r="A13" s="17" t="str">
        <f t="shared" si="1"/>
        <v>#NAME?</v>
      </c>
      <c r="B13" s="34" t="s">
        <v>214</v>
      </c>
      <c r="C13" s="5">
        <v>4.0</v>
      </c>
      <c r="D13" s="5" t="b">
        <v>0</v>
      </c>
      <c r="E13" s="34" t="s">
        <v>213</v>
      </c>
      <c r="F13" s="17" t="str">
        <f t="array" ref="F13">VLOOKUP(E13,{Source!B:B,Source!A:A},2,FALSE)</f>
        <v>10.1787/9789264169142-en</v>
      </c>
    </row>
    <row r="14">
      <c r="A14" s="17" t="str">
        <f t="shared" si="1"/>
        <v>#NAME?</v>
      </c>
      <c r="B14" s="34" t="s">
        <v>131</v>
      </c>
      <c r="C14" s="5">
        <v>4.0</v>
      </c>
      <c r="D14" s="5" t="b">
        <v>0</v>
      </c>
      <c r="E14" s="34" t="s">
        <v>130</v>
      </c>
      <c r="F14" s="17" t="str">
        <f t="array" ref="F14">VLOOKUP(E14,{Source!B:B,Source!A:A},2,FALSE)</f>
        <v>10.1787/9789264276116-4-en</v>
      </c>
    </row>
    <row r="15">
      <c r="A15" s="17" t="str">
        <f t="shared" si="1"/>
        <v>#NAME?</v>
      </c>
      <c r="B15" s="34" t="s">
        <v>136</v>
      </c>
      <c r="C15" s="5">
        <v>4.0</v>
      </c>
      <c r="D15" s="5" t="b">
        <v>0</v>
      </c>
      <c r="E15" s="34" t="s">
        <v>135</v>
      </c>
      <c r="F15" s="17" t="str">
        <f t="array" ref="F15">VLOOKUP(E15,{Source!B:B,Source!A:A},2,FALSE)</f>
        <v>10.1787/9789264193338-en</v>
      </c>
    </row>
    <row r="16">
      <c r="A16" s="17" t="str">
        <f t="shared" si="1"/>
        <v>#NAME?</v>
      </c>
      <c r="B16" s="34" t="s">
        <v>277</v>
      </c>
      <c r="C16" s="5">
        <v>4.0</v>
      </c>
      <c r="D16" s="5" t="b">
        <v>0</v>
      </c>
      <c r="E16" s="34" t="s">
        <v>276</v>
      </c>
      <c r="F16" s="17" t="str">
        <f t="array" ref="F16">VLOOKUP(E16,{Source!B:B,Source!A:A},2,FALSE)</f>
        <v>10.1787/9789264247543-3-en</v>
      </c>
    </row>
    <row r="17">
      <c r="A17" s="17" t="str">
        <f t="shared" si="1"/>
        <v>#NAME?</v>
      </c>
      <c r="B17" s="34" t="s">
        <v>281</v>
      </c>
      <c r="C17" s="5">
        <v>4.0</v>
      </c>
      <c r="D17" s="5" t="b">
        <v>0</v>
      </c>
      <c r="E17" s="34" t="s">
        <v>280</v>
      </c>
      <c r="F17" s="17" t="str">
        <f t="array" ref="F17">VLOOKUP(E17,{Source!B:B,Source!A:A},2,FALSE)</f>
        <v>10.1787/5k94hdlll7vk-en</v>
      </c>
    </row>
    <row r="18">
      <c r="A18" s="17" t="str">
        <f t="shared" si="1"/>
        <v>#NAME?</v>
      </c>
      <c r="B18" s="34" t="s">
        <v>178</v>
      </c>
      <c r="C18" s="5">
        <v>4.0</v>
      </c>
      <c r="D18" s="5" t="b">
        <v>1</v>
      </c>
      <c r="E18" s="34" t="s">
        <v>177</v>
      </c>
      <c r="F18" s="17" t="str">
        <f t="array" ref="F18">VLOOKUP(E18,{Source!B:B,Source!A:A},2,FALSE)</f>
        <v>10.1787/9789264089457-en</v>
      </c>
    </row>
    <row r="19">
      <c r="A19" s="17" t="str">
        <f t="shared" si="1"/>
        <v>#NAME?</v>
      </c>
      <c r="B19" s="34" t="s">
        <v>265</v>
      </c>
      <c r="C19" s="5">
        <v>4.0</v>
      </c>
      <c r="D19" s="5" t="b">
        <v>1</v>
      </c>
      <c r="E19" s="34" t="s">
        <v>264</v>
      </c>
      <c r="F19" s="17" t="str">
        <f t="array" ref="F19">VLOOKUP(E19,{Source!B:B,Source!A:A},2,FALSE)</f>
        <v>10.1787/9789264234178-6-en</v>
      </c>
    </row>
    <row r="20">
      <c r="A20" s="17" t="str">
        <f t="shared" si="1"/>
        <v>#NAME?</v>
      </c>
      <c r="B20" s="34" t="s">
        <v>228</v>
      </c>
      <c r="C20" s="5">
        <v>4.0</v>
      </c>
      <c r="D20" s="5" t="b">
        <v>0</v>
      </c>
      <c r="E20" s="34" t="s">
        <v>227</v>
      </c>
      <c r="F20" s="17" t="str">
        <f t="array" ref="F20">VLOOKUP(E20,{Source!B:B,Source!A:A},2,FALSE)</f>
        <v>10.1787/9789264113756-en</v>
      </c>
    </row>
    <row r="21">
      <c r="A21" s="17" t="str">
        <f t="shared" si="1"/>
        <v>#NAME?</v>
      </c>
      <c r="B21" s="34" t="s">
        <v>105</v>
      </c>
      <c r="C21" s="5">
        <v>4.0</v>
      </c>
      <c r="D21" s="5" t="b">
        <v>1</v>
      </c>
      <c r="E21" s="34" t="s">
        <v>104</v>
      </c>
      <c r="F21" s="17" t="str">
        <f t="array" ref="F21">VLOOKUP(E21,{Source!B:B,Source!A:A},2,FALSE)</f>
        <v>10.1787/9789264257498-8-en</v>
      </c>
    </row>
    <row r="22">
      <c r="A22" s="17" t="str">
        <f t="shared" si="1"/>
        <v>#NAME?</v>
      </c>
      <c r="B22" s="34" t="s">
        <v>156</v>
      </c>
      <c r="C22" s="5">
        <v>4.0</v>
      </c>
      <c r="D22" s="5" t="b">
        <v>0</v>
      </c>
      <c r="E22" s="34" t="s">
        <v>155</v>
      </c>
      <c r="F22" s="17" t="str">
        <f t="array" ref="F22">VLOOKUP(E22,{Source!B:B,Source!A:A},2,FALSE)</f>
        <v>10.1787/9789264225442-10-en</v>
      </c>
    </row>
    <row r="23">
      <c r="A23" s="17" t="str">
        <f t="shared" si="1"/>
        <v>#NAME?</v>
      </c>
      <c r="B23" s="34" t="s">
        <v>174</v>
      </c>
      <c r="C23" s="5">
        <v>4.0</v>
      </c>
      <c r="D23" s="5" t="b">
        <v>1</v>
      </c>
      <c r="E23" s="34" t="s">
        <v>173</v>
      </c>
      <c r="F23" s="17" t="str">
        <f t="array" ref="F23">VLOOKUP(E23,{Source!B:B,Source!A:A},2,FALSE)</f>
        <v>10.1787/9789264114579-5-en</v>
      </c>
    </row>
    <row r="24">
      <c r="A24" s="17" t="str">
        <f t="shared" si="1"/>
        <v>#NAME?</v>
      </c>
      <c r="B24" s="34" t="s">
        <v>194</v>
      </c>
      <c r="C24" s="5">
        <v>4.0</v>
      </c>
      <c r="D24" s="5" t="b">
        <v>1</v>
      </c>
      <c r="E24" s="34" t="s">
        <v>193</v>
      </c>
      <c r="F24" s="17" t="str">
        <f t="array" ref="F24">VLOOKUP(E24,{Source!B:B,Source!A:A},2,FALSE)</f>
        <v>10.1787/9789264276253-6-en</v>
      </c>
    </row>
    <row r="25">
      <c r="A25" s="17" t="str">
        <f t="shared" si="1"/>
        <v>#NAME?</v>
      </c>
      <c r="B25" s="34" t="s">
        <v>154</v>
      </c>
      <c r="C25" s="5">
        <v>4.0</v>
      </c>
      <c r="D25" s="5" t="b">
        <v>0</v>
      </c>
      <c r="E25" s="34" t="s">
        <v>153</v>
      </c>
      <c r="F25" s="17" t="str">
        <f t="array" ref="F25">VLOOKUP(E25,{Source!B:B,Source!A:A},2,FALSE)</f>
        <v>10.1787/9789264262430-6-en</v>
      </c>
    </row>
    <row r="26">
      <c r="A26" s="17" t="str">
        <f t="shared" si="1"/>
        <v>#NAME?</v>
      </c>
      <c r="B26" s="34" t="s">
        <v>216</v>
      </c>
      <c r="C26" s="5">
        <v>4.0</v>
      </c>
      <c r="D26" s="5" t="b">
        <v>0</v>
      </c>
      <c r="E26" s="34" t="s">
        <v>215</v>
      </c>
      <c r="F26" s="17" t="str">
        <f t="array" ref="F26">VLOOKUP(E26,{Source!B:B,Source!A:A},2,FALSE)</f>
        <v>10.14217/9781848591271-5-en</v>
      </c>
    </row>
    <row r="27">
      <c r="A27" s="17" t="str">
        <f t="shared" si="1"/>
        <v>#NAME?</v>
      </c>
      <c r="B27" s="34" t="s">
        <v>248</v>
      </c>
      <c r="C27" s="5">
        <v>4.0</v>
      </c>
      <c r="D27" s="5" t="b">
        <v>0</v>
      </c>
      <c r="E27" s="34" t="s">
        <v>247</v>
      </c>
      <c r="F27" s="17" t="str">
        <f t="array" ref="F27">VLOOKUP(E27,{Source!B:B,Source!A:A},2,FALSE)</f>
        <v>10.1787/9789264207899-5-en</v>
      </c>
    </row>
    <row r="28">
      <c r="A28" s="17" t="str">
        <f t="shared" si="1"/>
        <v>#NAME?</v>
      </c>
      <c r="B28" s="34" t="s">
        <v>210</v>
      </c>
      <c r="C28" s="5">
        <v>4.0</v>
      </c>
      <c r="D28" s="5" t="b">
        <v>0</v>
      </c>
      <c r="E28" s="34" t="s">
        <v>209</v>
      </c>
      <c r="F28" s="17" t="str">
        <f t="array" ref="F28">VLOOKUP(E28,{Source!B:B,Source!A:A},2,FALSE)</f>
        <v>10.1787/9789264287457-7-en</v>
      </c>
    </row>
    <row r="29">
      <c r="A29" s="17" t="str">
        <f t="shared" si="1"/>
        <v>#NAME?</v>
      </c>
      <c r="B29" s="34" t="s">
        <v>207</v>
      </c>
      <c r="C29" s="5">
        <v>4.0</v>
      </c>
      <c r="D29" s="5" t="b">
        <v>1</v>
      </c>
      <c r="E29" s="34" t="s">
        <v>206</v>
      </c>
      <c r="F29" s="17" t="str">
        <f t="array" ref="F29">VLOOKUP(E29,{Source!B:B,Source!A:A},2,FALSE)</f>
        <v>10.1787/9789264209626-2-en</v>
      </c>
    </row>
    <row r="30">
      <c r="A30" s="17" t="str">
        <f t="shared" si="1"/>
        <v>#NAME?</v>
      </c>
      <c r="B30" s="34" t="s">
        <v>246</v>
      </c>
      <c r="C30" s="5">
        <v>4.0</v>
      </c>
      <c r="D30" s="5" t="b">
        <v>1</v>
      </c>
      <c r="E30" s="34" t="s">
        <v>245</v>
      </c>
      <c r="F30" s="17" t="str">
        <f t="array" ref="F30">VLOOKUP(E30,{Source!B:B,Source!A:A},2,FALSE)</f>
        <v>10.1787/9789264247543-9-en</v>
      </c>
    </row>
    <row r="31">
      <c r="A31" s="17" t="str">
        <f t="shared" si="1"/>
        <v>#NAME?</v>
      </c>
      <c r="B31" s="34" t="s">
        <v>148</v>
      </c>
      <c r="C31" s="5">
        <v>4.0</v>
      </c>
      <c r="D31" s="5" t="b">
        <v>0</v>
      </c>
      <c r="E31" s="34" t="s">
        <v>147</v>
      </c>
      <c r="F31" s="17" t="str">
        <f t="array" ref="F31">VLOOKUP(E31,{Source!B:B,Source!A:A},2,FALSE)</f>
        <v>10.1787/9789264230750-11-en</v>
      </c>
    </row>
    <row r="32">
      <c r="A32" s="17" t="str">
        <f t="shared" si="1"/>
        <v>#NAME?</v>
      </c>
      <c r="B32" s="34" t="s">
        <v>279</v>
      </c>
      <c r="C32" s="5">
        <v>4.0</v>
      </c>
      <c r="D32" s="5" t="b">
        <v>0</v>
      </c>
      <c r="E32" s="34" t="s">
        <v>278</v>
      </c>
      <c r="F32" s="17" t="str">
        <f t="array" ref="F32">VLOOKUP(E32,{Source!B:B,Source!A:A},2,FALSE)</f>
        <v>10.18356/091e4d11-en</v>
      </c>
    </row>
    <row r="33">
      <c r="A33" s="17" t="str">
        <f t="shared" si="1"/>
        <v>#NAME?</v>
      </c>
      <c r="B33" s="34" t="s">
        <v>192</v>
      </c>
      <c r="C33" s="5">
        <v>4.0</v>
      </c>
      <c r="D33" s="5" t="b">
        <v>0</v>
      </c>
      <c r="E33" s="34" t="s">
        <v>191</v>
      </c>
      <c r="F33" s="17" t="str">
        <f t="array" ref="F33">VLOOKUP(E33,{Source!B:B,Source!A:A},2,FALSE)</f>
        <v>10.1787/5k487ntdbr44-en</v>
      </c>
    </row>
    <row r="34">
      <c r="A34" s="17" t="str">
        <f t="shared" si="1"/>
        <v>#NAME?</v>
      </c>
      <c r="B34" s="34" t="s">
        <v>112</v>
      </c>
      <c r="C34" s="5">
        <v>4.0</v>
      </c>
      <c r="D34" s="5" t="b">
        <v>1</v>
      </c>
      <c r="E34" s="34" t="s">
        <v>111</v>
      </c>
      <c r="F34" s="17" t="str">
        <f t="array" ref="F34">VLOOKUP(E34,{Source!B:B,Source!A:A},2,FALSE)</f>
        <v>10.1787/9789264262430-6-en</v>
      </c>
    </row>
    <row r="35">
      <c r="A35" s="17" t="str">
        <f t="shared" si="1"/>
        <v>#NAME?</v>
      </c>
      <c r="B35" s="34" t="s">
        <v>218</v>
      </c>
      <c r="C35" s="5">
        <v>4.0</v>
      </c>
      <c r="D35" s="5" t="b">
        <v>0</v>
      </c>
      <c r="E35" s="34" t="s">
        <v>217</v>
      </c>
      <c r="F35" s="17" t="str">
        <f t="array" ref="F35">VLOOKUP(E35,{Source!B:B,Source!A:A},2,FALSE)</f>
        <v>10.18356/0ceb7e87-en</v>
      </c>
    </row>
    <row r="36">
      <c r="A36" s="17" t="str">
        <f t="shared" si="1"/>
        <v>#NAME?</v>
      </c>
      <c r="B36" s="34" t="s">
        <v>190</v>
      </c>
      <c r="C36" s="5">
        <v>4.0</v>
      </c>
      <c r="D36" s="5" t="b">
        <v>1</v>
      </c>
      <c r="E36" s="34" t="s">
        <v>189</v>
      </c>
      <c r="F36" s="17" t="str">
        <f t="array" ref="F36">VLOOKUP(E36,{Source!B:B,Source!A:A},2,FALSE)</f>
        <v>10.1787/9789264292697-3-en</v>
      </c>
    </row>
    <row r="37">
      <c r="A37" s="17" t="str">
        <f t="shared" si="1"/>
        <v>#NAME?</v>
      </c>
      <c r="B37" s="34" t="s">
        <v>275</v>
      </c>
      <c r="C37" s="5">
        <v>4.0</v>
      </c>
      <c r="D37" s="5" t="b">
        <v>1</v>
      </c>
      <c r="E37" s="34" t="s">
        <v>274</v>
      </c>
      <c r="F37" s="17" t="str">
        <f t="array" ref="F37">VLOOKUP(E37,{Source!B:B,Source!A:A},2,FALSE)</f>
        <v>10.1787/9789264214033-8-en</v>
      </c>
    </row>
    <row r="38">
      <c r="A38" s="17" t="str">
        <f t="shared" si="1"/>
        <v>#NAME?</v>
      </c>
      <c r="B38" s="34" t="s">
        <v>170</v>
      </c>
      <c r="C38" s="5">
        <v>4.0</v>
      </c>
      <c r="D38" s="5" t="b">
        <v>0</v>
      </c>
      <c r="E38" s="34" t="s">
        <v>169</v>
      </c>
      <c r="F38" s="17" t="str">
        <f t="array" ref="F38">VLOOKUP(E38,{Source!B:B,Source!A:A},2,FALSE)</f>
        <v>10.1787/9789264193338-en</v>
      </c>
    </row>
    <row r="39">
      <c r="A39" s="17" t="str">
        <f t="shared" si="1"/>
        <v>#NAME?</v>
      </c>
      <c r="B39" s="34" t="s">
        <v>129</v>
      </c>
      <c r="C39" s="5">
        <v>4.0</v>
      </c>
      <c r="D39" s="5" t="b">
        <v>0</v>
      </c>
      <c r="E39" s="34" t="s">
        <v>128</v>
      </c>
      <c r="F39" s="17" t="str">
        <f t="array" ref="F39">VLOOKUP(E39,{Source!B:B,Source!A:A},2,FALSE)</f>
        <v>10.1787/9789264285637-6-en</v>
      </c>
    </row>
    <row r="40">
      <c r="A40" s="17" t="str">
        <f t="shared" si="1"/>
        <v>#NAME?</v>
      </c>
      <c r="B40" s="34" t="s">
        <v>96</v>
      </c>
      <c r="C40" s="5">
        <v>4.0</v>
      </c>
      <c r="D40" s="5" t="b">
        <v>0</v>
      </c>
      <c r="E40" s="34" t="s">
        <v>95</v>
      </c>
      <c r="F40" s="17" t="str">
        <f t="array" ref="F40">VLOOKUP(E40,{Source!B:B,Source!A:A},2,FALSE)</f>
        <v>10.1787/9789264279421-6-en</v>
      </c>
    </row>
    <row r="41">
      <c r="A41" s="17" t="str">
        <f t="shared" si="1"/>
        <v>#NAME?</v>
      </c>
      <c r="B41" s="34" t="s">
        <v>252</v>
      </c>
      <c r="C41" s="5">
        <v>4.0</v>
      </c>
      <c r="D41" s="5" t="b">
        <v>0</v>
      </c>
      <c r="E41" s="34" t="s">
        <v>251</v>
      </c>
      <c r="F41" s="17" t="str">
        <f t="array" ref="F41">VLOOKUP(E41,{Source!B:B,Source!A:A},2,FALSE)</f>
        <v>10.1787/9789264298644-en</v>
      </c>
    </row>
    <row r="42">
      <c r="A42" s="17" t="str">
        <f t="shared" si="1"/>
        <v>#NAME?</v>
      </c>
      <c r="B42" s="34" t="s">
        <v>181</v>
      </c>
      <c r="C42" s="5">
        <v>4.0</v>
      </c>
      <c r="D42" s="5" t="b">
        <v>1</v>
      </c>
      <c r="E42" s="34" t="s">
        <v>180</v>
      </c>
      <c r="F42" s="17" t="str">
        <f t="array" ref="F42">VLOOKUP(E42,{Source!B:B,Source!A:A},2,FALSE)</f>
        <v>10.1787/9789264225442-6-en</v>
      </c>
    </row>
    <row r="43">
      <c r="A43" s="17" t="str">
        <f t="shared" si="1"/>
        <v>#NAME?</v>
      </c>
      <c r="B43" s="34" t="s">
        <v>166</v>
      </c>
      <c r="C43" s="5">
        <v>4.0</v>
      </c>
      <c r="D43" s="5" t="b">
        <v>1</v>
      </c>
      <c r="E43" s="34" t="s">
        <v>165</v>
      </c>
      <c r="F43" s="17" t="str">
        <f t="array" ref="F43">VLOOKUP(E43,{Source!B:B,Source!A:A},2,FALSE)</f>
        <v>10.1787/5kg0prg9b1g8-en</v>
      </c>
    </row>
    <row r="44">
      <c r="A44" s="17" t="str">
        <f t="shared" si="1"/>
        <v>#NAME?</v>
      </c>
      <c r="B44" s="34" t="s">
        <v>250</v>
      </c>
      <c r="C44" s="5">
        <v>4.0</v>
      </c>
      <c r="D44" s="5" t="b">
        <v>0</v>
      </c>
      <c r="E44" s="34" t="s">
        <v>249</v>
      </c>
      <c r="F44" s="17" t="str">
        <f t="array" ref="F44">VLOOKUP(E44,{Source!B:B,Source!A:A},2,FALSE)</f>
        <v>10.1787/9789264233515-7-en</v>
      </c>
    </row>
    <row r="45">
      <c r="A45" s="17" t="str">
        <f t="shared" si="1"/>
        <v>#NAME?</v>
      </c>
      <c r="B45" s="34" t="s">
        <v>90</v>
      </c>
      <c r="C45" s="5">
        <v>4.0</v>
      </c>
      <c r="D45" s="5" t="b">
        <v>1</v>
      </c>
      <c r="E45" s="34" t="s">
        <v>89</v>
      </c>
      <c r="F45" s="17" t="str">
        <f t="array" ref="F45">VLOOKUP(E45,{Source!B:B,Source!A:A},2,FALSE)</f>
        <v>10.1787/9789264287457-3-en</v>
      </c>
    </row>
    <row r="46">
      <c r="A46" s="17" t="str">
        <f t="shared" si="1"/>
        <v>#NAME?</v>
      </c>
      <c r="B46" s="34" t="s">
        <v>234</v>
      </c>
      <c r="C46" s="5">
        <v>4.0</v>
      </c>
      <c r="D46" s="5" t="b">
        <v>1</v>
      </c>
      <c r="E46" s="34" t="s">
        <v>233</v>
      </c>
      <c r="F46" s="17" t="str">
        <f t="array" ref="F46">VLOOKUP(E46,{Source!B:B,Source!A:A},2,FALSE)</f>
        <v>10.1787/9789264113800-en</v>
      </c>
    </row>
    <row r="47">
      <c r="A47" s="17" t="str">
        <f t="shared" si="1"/>
        <v>#NAME?</v>
      </c>
      <c r="B47" s="34" t="s">
        <v>263</v>
      </c>
      <c r="C47" s="5">
        <v>4.0</v>
      </c>
      <c r="D47" s="5" t="b">
        <v>1</v>
      </c>
      <c r="E47" s="34" t="s">
        <v>262</v>
      </c>
      <c r="F47" s="17" t="str">
        <f t="array" ref="F47">VLOOKUP(E47,{Source!B:B,Source!A:A},2,FALSE)</f>
        <v>10.1787/9789264230750-6-en</v>
      </c>
    </row>
    <row r="48">
      <c r="A48" s="17" t="str">
        <f t="shared" si="1"/>
        <v>#NAME?</v>
      </c>
      <c r="B48" s="34" t="s">
        <v>146</v>
      </c>
      <c r="C48" s="5">
        <v>4.0</v>
      </c>
      <c r="D48" s="5" t="b">
        <v>1</v>
      </c>
      <c r="E48" s="34" t="s">
        <v>145</v>
      </c>
      <c r="F48" s="17" t="str">
        <f t="array" ref="F48">VLOOKUP(E48,{Source!B:B,Source!A:A},2,FALSE)</f>
        <v>10.14217/9781848591400-6-en</v>
      </c>
    </row>
    <row r="49">
      <c r="A49" s="17" t="str">
        <f t="shared" si="1"/>
        <v>#NAME?</v>
      </c>
      <c r="B49" s="34" t="s">
        <v>100</v>
      </c>
      <c r="C49" s="5">
        <v>4.0</v>
      </c>
      <c r="D49" s="5" t="b">
        <v>1</v>
      </c>
      <c r="E49" s="34" t="s">
        <v>99</v>
      </c>
      <c r="F49" s="17" t="str">
        <f t="array" ref="F49">VLOOKUP(E49,{Source!B:B,Source!A:A},2,FALSE)</f>
        <v>10.18356/a692184d-en</v>
      </c>
    </row>
    <row r="50">
      <c r="A50" s="17" t="str">
        <f t="shared" si="1"/>
        <v>#NAME?</v>
      </c>
      <c r="B50" s="34" t="s">
        <v>196</v>
      </c>
      <c r="C50" s="5">
        <v>4.0</v>
      </c>
      <c r="D50" s="5" t="b">
        <v>0</v>
      </c>
      <c r="E50" s="34" t="s">
        <v>195</v>
      </c>
      <c r="F50" s="17" t="str">
        <f t="array" ref="F50">VLOOKUP(E50,{Source!B:B,Source!A:A},2,FALSE)</f>
        <v>10.1787/f9b2e53f-en</v>
      </c>
    </row>
    <row r="51">
      <c r="A51" s="17" t="str">
        <f t="shared" si="1"/>
        <v>#NAME?</v>
      </c>
      <c r="B51" s="34" t="s">
        <v>102</v>
      </c>
      <c r="C51" s="5">
        <v>4.0</v>
      </c>
      <c r="D51" s="5" t="b">
        <v>1</v>
      </c>
      <c r="E51" s="34" t="s">
        <v>101</v>
      </c>
      <c r="F51" s="17" t="str">
        <f t="array" ref="F51">VLOOKUP(E51,{Source!B:B,Source!A:A},2,FALSE)</f>
        <v>10.1787/9789264267817-5-en</v>
      </c>
    </row>
    <row r="52">
      <c r="A52" s="17" t="str">
        <f t="shared" si="1"/>
        <v>#NAME?</v>
      </c>
      <c r="B52" s="34" t="s">
        <v>92</v>
      </c>
      <c r="C52" s="5">
        <v>4.0</v>
      </c>
      <c r="D52" s="5" t="b">
        <v>1</v>
      </c>
      <c r="E52" s="34" t="s">
        <v>91</v>
      </c>
      <c r="F52" s="17" t="str">
        <f t="array" ref="F52">VLOOKUP(E52,{Source!B:B,Source!A:A},2,FALSE)</f>
        <v>10.1787/eag-2018-6-en</v>
      </c>
    </row>
    <row r="53">
      <c r="A53" s="17" t="str">
        <f t="shared" si="1"/>
        <v>#NAME?</v>
      </c>
      <c r="B53" s="34" t="s">
        <v>224</v>
      </c>
      <c r="C53" s="5">
        <v>4.0</v>
      </c>
      <c r="D53" s="5" t="b">
        <v>0</v>
      </c>
      <c r="E53" s="34" t="s">
        <v>223</v>
      </c>
      <c r="F53" s="17" t="str">
        <f t="array" ref="F53">VLOOKUP(E53,{Source!B:B,Source!A:A},2,FALSE)</f>
        <v>10.1787/9789264193338-en</v>
      </c>
    </row>
    <row r="54">
      <c r="A54" s="17" t="str">
        <f t="shared" si="1"/>
        <v>#NAME?</v>
      </c>
      <c r="B54" s="34" t="s">
        <v>108</v>
      </c>
      <c r="C54" s="5">
        <v>4.0</v>
      </c>
      <c r="D54" s="5" t="b">
        <v>0</v>
      </c>
      <c r="E54" s="34" t="s">
        <v>107</v>
      </c>
      <c r="F54" s="17" t="str">
        <f t="array" ref="F54">VLOOKUP(E54,{Source!B:B,Source!A:A},2,FALSE)</f>
        <v>10.1787/9789264265097-3-en</v>
      </c>
    </row>
    <row r="55">
      <c r="A55" s="17" t="str">
        <f t="shared" si="1"/>
        <v>#NAME?</v>
      </c>
      <c r="B55" s="34" t="s">
        <v>230</v>
      </c>
      <c r="C55" s="5">
        <v>4.0</v>
      </c>
      <c r="D55" s="5" t="b">
        <v>1</v>
      </c>
      <c r="E55" s="34" t="s">
        <v>229</v>
      </c>
      <c r="F55" s="17" t="str">
        <f t="array" ref="F55">VLOOKUP(E55,{Source!B:B,Source!A:A},2,FALSE)</f>
        <v>10.1787/9789264230750-4-en</v>
      </c>
    </row>
    <row r="56">
      <c r="A56" s="17" t="str">
        <f t="shared" si="1"/>
        <v>#NAME?</v>
      </c>
      <c r="B56" s="34" t="s">
        <v>226</v>
      </c>
      <c r="C56" s="5">
        <v>4.0</v>
      </c>
      <c r="D56" s="5" t="b">
        <v>0</v>
      </c>
      <c r="E56" s="34" t="s">
        <v>225</v>
      </c>
      <c r="F56" s="17" t="str">
        <f t="array" ref="F56">VLOOKUP(E56,{Source!B:B,Source!A:A},2,FALSE)</f>
        <v>10.18356/8db7ff68-en</v>
      </c>
    </row>
    <row r="57">
      <c r="A57" s="17" t="str">
        <f t="shared" si="1"/>
        <v>#NAME?</v>
      </c>
      <c r="B57" s="34" t="s">
        <v>124</v>
      </c>
      <c r="C57" s="5">
        <v>4.0</v>
      </c>
      <c r="D57" s="5" t="b">
        <v>1</v>
      </c>
      <c r="E57" s="34" t="s">
        <v>123</v>
      </c>
      <c r="F57" s="17" t="str">
        <f t="array" ref="F57">VLOOKUP(E57,{Source!B:B,Source!A:A},2,FALSE)</f>
        <v>10.1787/9789264088986-en</v>
      </c>
    </row>
    <row r="58">
      <c r="A58" s="17" t="str">
        <f t="shared" si="1"/>
        <v>#NAME?</v>
      </c>
      <c r="B58" s="34" t="s">
        <v>186</v>
      </c>
      <c r="C58" s="5">
        <v>4.0</v>
      </c>
      <c r="D58" s="5" t="b">
        <v>1</v>
      </c>
      <c r="E58" s="34" t="s">
        <v>185</v>
      </c>
      <c r="F58" s="17" t="str">
        <f t="array" ref="F58">VLOOKUP(E58,{Source!B:B,Source!A:A},2,FALSE)</f>
        <v>10.1787/9789264225442-20-en</v>
      </c>
    </row>
    <row r="59">
      <c r="A59" s="17" t="str">
        <f t="shared" si="1"/>
        <v>#NAME?</v>
      </c>
      <c r="B59" s="34" t="s">
        <v>142</v>
      </c>
      <c r="C59" s="5">
        <v>4.0</v>
      </c>
      <c r="D59" s="5" t="b">
        <v>0</v>
      </c>
      <c r="E59" s="34" t="s">
        <v>141</v>
      </c>
      <c r="F59" s="17" t="str">
        <f t="array" ref="F59">VLOOKUP(E59,{Source!B:B,Source!A:A},2,FALSE)</f>
        <v>10.14217/9781848591271-6-en</v>
      </c>
    </row>
    <row r="60">
      <c r="A60" s="17" t="str">
        <f t="shared" si="1"/>
        <v>#NAME?</v>
      </c>
      <c r="B60" s="34" t="s">
        <v>160</v>
      </c>
      <c r="C60" s="5">
        <v>4.0</v>
      </c>
      <c r="D60" s="5" t="b">
        <v>1</v>
      </c>
      <c r="E60" s="34" t="s">
        <v>159</v>
      </c>
      <c r="F60" s="17" t="str">
        <f t="array" ref="F60">VLOOKUP(E60,{Source!B:B,Source!A:A},2,FALSE)</f>
        <v>10.1787/5jrxfmjvw9bt-en</v>
      </c>
    </row>
    <row r="61">
      <c r="A61" s="17" t="str">
        <f t="shared" si="1"/>
        <v>#NAME?</v>
      </c>
      <c r="B61" s="34" t="s">
        <v>98</v>
      </c>
      <c r="C61" s="5">
        <v>4.0</v>
      </c>
      <c r="D61" s="5" t="b">
        <v>0</v>
      </c>
      <c r="E61" s="34" t="s">
        <v>97</v>
      </c>
      <c r="F61" s="17" t="str">
        <f t="array" ref="F61">VLOOKUP(E61,{Source!B:B,Source!A:A},2,FALSE)</f>
        <v>10.1787/9789264279421-6-en</v>
      </c>
    </row>
    <row r="62">
      <c r="A62" s="17" t="str">
        <f t="shared" si="1"/>
        <v>#NAME?</v>
      </c>
      <c r="B62" s="34" t="s">
        <v>158</v>
      </c>
      <c r="C62" s="5">
        <v>4.0</v>
      </c>
      <c r="D62" s="5" t="b">
        <v>1</v>
      </c>
      <c r="E62" s="34" t="s">
        <v>157</v>
      </c>
      <c r="F62" s="17" t="str">
        <f t="array" ref="F62">VLOOKUP(E62,{Source!B:B,Source!A:A},2,FALSE)</f>
        <v>10.1787/f5bd9e57-en</v>
      </c>
    </row>
    <row r="63">
      <c r="A63" s="17" t="str">
        <f t="shared" si="1"/>
        <v>#NAME?</v>
      </c>
      <c r="B63" s="34" t="s">
        <v>122</v>
      </c>
      <c r="C63" s="5">
        <v>4.0</v>
      </c>
      <c r="D63" s="5" t="b">
        <v>1</v>
      </c>
      <c r="E63" s="34" t="s">
        <v>121</v>
      </c>
      <c r="F63" s="17" t="str">
        <f t="array" ref="F63">VLOOKUP(E63,{Source!B:B,Source!A:A},2,FALSE)</f>
        <v>10.1787/5kg0prg9b1g8-en</v>
      </c>
    </row>
    <row r="64">
      <c r="A64" s="17" t="str">
        <f t="shared" si="1"/>
        <v>#NAME?</v>
      </c>
      <c r="B64" s="34" t="s">
        <v>88</v>
      </c>
      <c r="C64" s="5">
        <v>4.0</v>
      </c>
      <c r="D64" s="5" t="b">
        <v>1</v>
      </c>
      <c r="E64" s="34" t="s">
        <v>87</v>
      </c>
      <c r="F64" s="17" t="str">
        <f t="array" ref="F64">VLOOKUP(E64,{Source!B:B,Source!A:A},2,FALSE)</f>
        <v>10.1787/9789264287457-7-en</v>
      </c>
    </row>
    <row r="65">
      <c r="A65" s="17" t="str">
        <f t="shared" si="1"/>
        <v>#NAME?</v>
      </c>
      <c r="B65" s="34" t="s">
        <v>212</v>
      </c>
      <c r="C65" s="5">
        <v>4.0</v>
      </c>
      <c r="D65" s="5" t="b">
        <v>1</v>
      </c>
      <c r="E65" s="34" t="s">
        <v>211</v>
      </c>
      <c r="F65" s="17" t="str">
        <f t="array" ref="F65">VLOOKUP(E65,{Source!B:B,Source!A:A},2,FALSE)</f>
        <v>10.1787/eco/surveys-swe-2015-6-en</v>
      </c>
    </row>
    <row r="66">
      <c r="A66" s="17" t="str">
        <f t="shared" si="1"/>
        <v>#NAME?</v>
      </c>
      <c r="B66" s="34" t="s">
        <v>117</v>
      </c>
      <c r="C66" s="5">
        <v>4.0</v>
      </c>
      <c r="D66" s="5" t="b">
        <v>0</v>
      </c>
      <c r="E66" s="34" t="s">
        <v>116</v>
      </c>
      <c r="F66" s="17" t="str">
        <f t="array" ref="F66">VLOOKUP(E66,{Source!B:B,Source!A:A},2,FALSE)</f>
        <v>10.1787/9789264204256-10-en</v>
      </c>
    </row>
    <row r="67">
      <c r="A67" s="17" t="str">
        <f t="shared" si="1"/>
        <v>#NAME?</v>
      </c>
      <c r="B67" s="34" t="s">
        <v>257</v>
      </c>
      <c r="C67" s="5">
        <v>4.0</v>
      </c>
      <c r="D67" s="5" t="b">
        <v>1</v>
      </c>
      <c r="E67" s="34" t="s">
        <v>256</v>
      </c>
      <c r="F67" s="17" t="str">
        <f t="array" ref="F67">VLOOKUP(E67,{Source!B:B,Source!A:A},2,FALSE)</f>
        <v>10.1787/9789264287457-7-en</v>
      </c>
    </row>
    <row r="68">
      <c r="A68" s="17" t="str">
        <f t="shared" si="1"/>
        <v>#NAME?</v>
      </c>
      <c r="B68" s="34" t="s">
        <v>82</v>
      </c>
      <c r="C68" s="5">
        <v>4.0</v>
      </c>
      <c r="D68" s="5" t="b">
        <v>0</v>
      </c>
      <c r="E68" s="34" t="s">
        <v>81</v>
      </c>
      <c r="F68" s="17" t="str">
        <f t="array" ref="F68">VLOOKUP(E68,{Source!B:B,Source!A:A},2,FALSE)</f>
        <v>10.18356/8db7ff68-en</v>
      </c>
    </row>
    <row r="69">
      <c r="A69" s="17" t="str">
        <f t="shared" si="1"/>
        <v>#NAME?</v>
      </c>
      <c r="B69" s="48" t="s">
        <v>464</v>
      </c>
      <c r="C69" s="5">
        <v>4.0</v>
      </c>
      <c r="D69" s="5" t="b">
        <v>1</v>
      </c>
      <c r="E69" s="34" t="s">
        <v>175</v>
      </c>
      <c r="F69" s="17" t="str">
        <f t="array" ref="F69">VLOOKUP(E69,{Source!B:B,Source!A:A},2,FALSE)</f>
        <v>10.1787/9789264277335-7-en</v>
      </c>
      <c r="G69" s="5" t="s">
        <v>465</v>
      </c>
    </row>
    <row r="70">
      <c r="A70" s="17" t="str">
        <f t="shared" si="1"/>
        <v>#NAME?</v>
      </c>
      <c r="B70" s="34" t="s">
        <v>115</v>
      </c>
      <c r="C70" s="5">
        <v>4.0</v>
      </c>
      <c r="D70" s="5" t="b">
        <v>0</v>
      </c>
      <c r="E70" s="34" t="s">
        <v>114</v>
      </c>
      <c r="F70" s="17" t="str">
        <f t="array" ref="F70">VLOOKUP(E70,{Source!B:B,Source!A:A},2,FALSE)</f>
        <v>10.14217/9781848591318-18-en</v>
      </c>
    </row>
    <row r="71">
      <c r="A71" s="17" t="str">
        <f t="shared" si="1"/>
        <v>#NAME?</v>
      </c>
      <c r="B71" s="34" t="s">
        <v>244</v>
      </c>
      <c r="C71" s="5">
        <v>4.0</v>
      </c>
      <c r="D71" s="5" t="b">
        <v>0</v>
      </c>
      <c r="E71" s="34" t="s">
        <v>243</v>
      </c>
      <c r="F71" s="17" t="str">
        <f t="array" ref="F71">VLOOKUP(E71,{Source!B:B,Source!A:A},2,FALSE)</f>
        <v>10.14217/9781848591271-6-en</v>
      </c>
    </row>
    <row r="72">
      <c r="A72" s="17" t="str">
        <f t="shared" si="1"/>
        <v>#NAME?</v>
      </c>
      <c r="B72" s="34" t="s">
        <v>162</v>
      </c>
      <c r="C72" s="5">
        <v>4.0</v>
      </c>
      <c r="D72" s="5" t="b">
        <v>1</v>
      </c>
      <c r="E72" s="34" t="s">
        <v>161</v>
      </c>
      <c r="F72" s="17" t="str">
        <f t="array" ref="F72">VLOOKUP(E72,{Source!B:B,Source!A:A},2,FALSE)</f>
        <v>10.1787/059ce467-en</v>
      </c>
    </row>
    <row r="73">
      <c r="A73" s="17" t="str">
        <f t="shared" si="1"/>
        <v>#NAME?</v>
      </c>
      <c r="B73" s="34" t="s">
        <v>144</v>
      </c>
      <c r="C73" s="5">
        <v>4.0</v>
      </c>
      <c r="D73" s="5" t="b">
        <v>0</v>
      </c>
      <c r="E73" s="34" t="s">
        <v>143</v>
      </c>
      <c r="F73" s="17" t="str">
        <f t="array" ref="F73">VLOOKUP(E73,{Source!B:B,Source!A:A},2,FALSE)</f>
        <v>10.1787/9789264301085-7-en</v>
      </c>
    </row>
    <row r="74">
      <c r="A74" s="17" t="str">
        <f t="shared" si="1"/>
        <v>#NAME?</v>
      </c>
      <c r="B74" s="34" t="s">
        <v>220</v>
      </c>
      <c r="C74" s="5">
        <v>4.0</v>
      </c>
      <c r="D74" s="5" t="b">
        <v>1</v>
      </c>
      <c r="E74" s="34" t="s">
        <v>219</v>
      </c>
      <c r="F74" s="17" t="str">
        <f t="array" ref="F74">VLOOKUP(E74,{Source!B:B,Source!A:A},2,FALSE)</f>
        <v>10.1787/9789264292697-3-en</v>
      </c>
    </row>
    <row r="75">
      <c r="A75" s="17" t="str">
        <f t="shared" si="1"/>
        <v>#NAME?</v>
      </c>
      <c r="B75" s="34" t="s">
        <v>271</v>
      </c>
      <c r="C75" s="5">
        <v>4.0</v>
      </c>
      <c r="D75" s="5" t="b">
        <v>0</v>
      </c>
      <c r="E75" s="34" t="s">
        <v>270</v>
      </c>
      <c r="F75" s="17" t="str">
        <f t="array" ref="F75">VLOOKUP(E75,{Source!B:B,Source!A:A},2,FALSE)</f>
        <v>10.1787/9789264089457-en</v>
      </c>
    </row>
    <row r="76">
      <c r="A76" s="17" t="str">
        <f t="shared" si="1"/>
        <v>#NAME?</v>
      </c>
      <c r="B76" s="34" t="s">
        <v>79</v>
      </c>
      <c r="C76" s="5">
        <v>4.0</v>
      </c>
      <c r="D76" s="5" t="b">
        <v>1</v>
      </c>
      <c r="E76" s="34" t="s">
        <v>78</v>
      </c>
      <c r="F76" s="17" t="str">
        <f t="array" ref="F76">VLOOKUP(E76,{Source!B:B,Source!A:A},2,FALSE)</f>
        <v>10.1787/9789264172616-5-en</v>
      </c>
    </row>
    <row r="77">
      <c r="A77" s="17" t="str">
        <f t="shared" si="1"/>
        <v>#NAME?</v>
      </c>
      <c r="B77" s="34" t="s">
        <v>168</v>
      </c>
      <c r="C77" s="5">
        <v>4.0</v>
      </c>
      <c r="D77" s="5" t="b">
        <v>1</v>
      </c>
      <c r="E77" s="34" t="s">
        <v>167</v>
      </c>
      <c r="F77" s="17" t="str">
        <f t="array" ref="F77">VLOOKUP(E77,{Source!B:B,Source!A:A},2,FALSE)</f>
        <v>10.1787/5kg0prg9b1g8-en</v>
      </c>
    </row>
    <row r="78">
      <c r="A78" s="17" t="str">
        <f t="shared" si="1"/>
        <v>#NAME?</v>
      </c>
      <c r="B78" s="34" t="s">
        <v>77</v>
      </c>
      <c r="C78" s="5">
        <v>4.0</v>
      </c>
      <c r="D78" s="5" t="b">
        <v>1</v>
      </c>
      <c r="E78" s="34" t="s">
        <v>76</v>
      </c>
      <c r="F78" s="17" t="str">
        <f t="array" ref="F78">VLOOKUP(E78,{Source!B:B,Source!A:A},2,FALSE)</f>
        <v>10.1787/9789264279421-4-en</v>
      </c>
    </row>
    <row r="79">
      <c r="A79" s="17" t="str">
        <f t="shared" si="1"/>
        <v>#NAME?</v>
      </c>
      <c r="B79" s="48" t="s">
        <v>466</v>
      </c>
      <c r="C79" s="5">
        <v>4.0</v>
      </c>
      <c r="D79" s="5" t="b">
        <v>0</v>
      </c>
      <c r="E79" s="34" t="s">
        <v>200</v>
      </c>
      <c r="F79" s="17" t="str">
        <f t="array" ref="F79">VLOOKUP(E79,{Source!B:B,Source!A:A},2,FALSE)</f>
        <v>10.1787/9789264088986-en</v>
      </c>
      <c r="G79" s="5" t="s">
        <v>465</v>
      </c>
    </row>
    <row r="80">
      <c r="A80" s="17" t="str">
        <f t="shared" si="1"/>
        <v>#NAME?</v>
      </c>
      <c r="B80" s="34" t="s">
        <v>240</v>
      </c>
      <c r="C80" s="5">
        <v>4.0</v>
      </c>
      <c r="D80" s="5" t="b">
        <v>1</v>
      </c>
      <c r="E80" s="34" t="s">
        <v>239</v>
      </c>
      <c r="F80" s="17" t="str">
        <f t="array" ref="F80">VLOOKUP(E80,{Source!B:B,Source!A:A},2,FALSE)</f>
        <v>10.1787/empl/outlook-2014-8-en</v>
      </c>
    </row>
    <row r="81">
      <c r="A81" s="17" t="str">
        <f t="shared" si="1"/>
        <v>#NAME?</v>
      </c>
      <c r="B81" s="34" t="s">
        <v>242</v>
      </c>
      <c r="C81" s="5">
        <v>4.0</v>
      </c>
      <c r="D81" s="5" t="b">
        <v>0</v>
      </c>
      <c r="E81" s="34" t="s">
        <v>241</v>
      </c>
      <c r="F81" s="17" t="str">
        <f t="array" ref="F81">VLOOKUP(E81,{Source!B:B,Source!A:A},2,FALSE)</f>
        <v>10.1787/9789264285637-8-en</v>
      </c>
    </row>
    <row r="82">
      <c r="A82" s="17" t="str">
        <f t="shared" si="1"/>
        <v>#NAME?</v>
      </c>
      <c r="B82" s="34" t="s">
        <v>119</v>
      </c>
      <c r="C82" s="5">
        <v>4.0</v>
      </c>
      <c r="D82" s="5" t="b">
        <v>1</v>
      </c>
      <c r="E82" s="34" t="s">
        <v>118</v>
      </c>
      <c r="F82" s="17" t="str">
        <f t="array" ref="F82">VLOOKUP(E82,{Source!B:B,Source!A:A},2,FALSE)</f>
        <v>10.1787/9789264277335-7-en</v>
      </c>
    </row>
    <row r="83">
      <c r="A83" s="17" t="str">
        <f t="shared" si="1"/>
        <v>#NAME?</v>
      </c>
      <c r="B83" s="34" t="s">
        <v>188</v>
      </c>
      <c r="C83" s="5">
        <v>4.0</v>
      </c>
      <c r="D83" s="5" t="b">
        <v>1</v>
      </c>
      <c r="E83" s="34" t="s">
        <v>187</v>
      </c>
      <c r="F83" s="17" t="str">
        <f t="array" ref="F83">VLOOKUP(E83,{Source!B:B,Source!A:A},2,FALSE)</f>
        <v>10.1787/9789264214682-5-en</v>
      </c>
    </row>
  </sheetData>
  <autoFilter ref="$A$1:$G$958"/>
  <drawing r:id="rId1"/>
</worksheet>
</file>