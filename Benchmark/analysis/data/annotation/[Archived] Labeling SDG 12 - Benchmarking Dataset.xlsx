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4"/>
    <sheet state="visible" name="Finn" sheetId="2" r:id="rId5"/>
    <sheet state="visible" name="Gib" sheetId="3" r:id="rId6"/>
    <sheet state="visible" name="Jean-Baptiste" sheetId="4" r:id="rId7"/>
    <sheet state="visible" name="Meike" sheetId="5" r:id="rId8"/>
    <sheet state="visible" name="Steve" sheetId="6" r:id="rId9"/>
    <sheet state="visible" name="Source" sheetId="7" r:id="rId10"/>
    <sheet state="visible" name="Final Review" sheetId="8" r:id="rId11"/>
    <sheet state="visible" name="Output" sheetId="9" r:id="rId12"/>
  </sheets>
  <definedNames>
    <definedName hidden="1" localSheetId="7" name="_xlnm._FilterDatabase">'Final Review'!$A$1:$T$101</definedName>
    <definedName hidden="1" localSheetId="8" name="_xlnm._FilterDatabase">Output!$A$1:$G$956</definedName>
  </definedNames>
  <calcPr/>
</workbook>
</file>

<file path=xl/sharedStrings.xml><?xml version="1.0" encoding="utf-8"?>
<sst xmlns="http://schemas.openxmlformats.org/spreadsheetml/2006/main" count="2186" uniqueCount="495">
  <si>
    <t>Hello 👋</t>
  </si>
  <si>
    <t>Welcome to the labeling exercise for SDG 12.</t>
  </si>
  <si>
    <t>The objective of this exercise is to label 100 texts in terms of their relevance to SDG 12.</t>
  </si>
  <si>
    <t>Your Labeling Sheet</t>
  </si>
  <si>
    <t>You have your own personal sheet for assigning the labels. You will find it by clicking on your name in the list at the bottom of this page.</t>
  </si>
  <si>
    <t>Each sheet has the same 100 texts, but the order in which they appear has been randomized.</t>
  </si>
  <si>
    <t>Later on, we will put everyone's labels side-by-side. This will help us identify texts with high and low alignment.</t>
  </si>
  <si>
    <t>At our next meeting, we will discuss the texts where we have disagreements and see if we can reach a consensus for the "true" label for every text.</t>
  </si>
  <si>
    <t>Please resist the temptation to look at other people's labels until you are done labeling. 🙂</t>
  </si>
  <si>
    <t>Explanation of Labels</t>
  </si>
  <si>
    <t>On your personal sheet, you will find the text in column B.</t>
  </si>
  <si>
    <t>Column C contains a drop-down for picking the appropriate label. The options are:</t>
  </si>
  <si>
    <t>This text is relevant to SDG 12</t>
  </si>
  <si>
    <t>This text is not relevant to SDG 12</t>
  </si>
  <si>
    <t>SKIP</t>
  </si>
  <si>
    <t>You can use this if you are not sure about the label</t>
  </si>
  <si>
    <t>If you want, you can put any comments in column D.</t>
  </si>
  <si>
    <t>Instructions for Labeling</t>
  </si>
  <si>
    <t>The text should be annotated as SDG 12 only if:</t>
  </si>
  <si>
    <r>
      <rPr>
        <rFont val="Arial"/>
        <color theme="1"/>
        <u/>
      </rPr>
      <t xml:space="preserve">1. The text addresses </t>
    </r>
    <r>
      <rPr>
        <rFont val="Arial"/>
        <b/>
        <color theme="1"/>
        <u/>
      </rPr>
      <t>SDG 12 or one of its targets</t>
    </r>
  </si>
  <si>
    <t>See the official definitions of SDG 12 and its targets below ("SDG 12 Description &amp; Targets").</t>
  </si>
  <si>
    <t>AND</t>
  </si>
  <si>
    <r>
      <rPr>
        <rFont val="Arial"/>
        <color theme="1"/>
        <u/>
      </rPr>
      <t xml:space="preserve">2. The text addresses SDG 12 or its targets </t>
    </r>
    <r>
      <rPr>
        <rFont val="Arial"/>
        <b/>
        <color theme="1"/>
        <u/>
      </rPr>
      <t>directly</t>
    </r>
    <r>
      <rPr>
        <rFont val="Arial"/>
        <color theme="1"/>
        <u/>
      </rPr>
      <t>:</t>
    </r>
  </si>
  <si>
    <t>- the text should be directly relevant to SDG 12 or to achieving SDG 12</t>
  </si>
  <si>
    <t>- if a text only has an indirect or implicit relevance, it should not be labeled SDG 12</t>
  </si>
  <si>
    <r>
      <rPr>
        <rFont val="Arial"/>
        <color theme="1"/>
        <u/>
      </rPr>
      <t xml:space="preserve">3. The text addresses SDG 12 or its targets </t>
    </r>
    <r>
      <rPr>
        <rFont val="Arial"/>
        <b/>
        <color theme="1"/>
        <u/>
      </rPr>
      <t>specifically</t>
    </r>
    <r>
      <rPr>
        <rFont val="Arial"/>
        <color theme="1"/>
        <u/>
      </rPr>
      <t>:</t>
    </r>
  </si>
  <si>
    <t>- the text should be specific to SDG 12 and its targets</t>
  </si>
  <si>
    <t>- if fact stating, the text should contain value-laden words (e.g. renewable energy instead of energy, drug abuse instead of drugs, infant mortality instead of premature deaths)</t>
  </si>
  <si>
    <r>
      <rPr>
        <rFont val="Arial"/>
        <color theme="1"/>
        <u/>
      </rPr>
      <t xml:space="preserve">4. Annotate as SDG 12 regardless of </t>
    </r>
    <r>
      <rPr>
        <rFont val="Arial"/>
        <b/>
        <color theme="1"/>
        <u/>
      </rPr>
      <t>valence</t>
    </r>
    <r>
      <rPr>
        <rFont val="Arial"/>
        <color theme="1"/>
        <u/>
      </rPr>
      <t xml:space="preserve"> and </t>
    </r>
    <r>
      <rPr>
        <rFont val="Arial"/>
        <b/>
        <color theme="1"/>
        <u/>
      </rPr>
      <t>other SDGs</t>
    </r>
    <r>
      <rPr>
        <rFont val="Arial"/>
        <color theme="1"/>
        <u/>
      </rPr>
      <t>:</t>
    </r>
  </si>
  <si>
    <t>- annotate as SDG 12 regardless of whether the content is discussed in a positive or negative light. We ignore valence (sentiment) for now.</t>
  </si>
  <si>
    <t>- annotate as SDG 12 even if other SDGs are mentioned and annotate as SDG 12 even if SDG 12 is not the "most important" SDG in the text</t>
  </si>
  <si>
    <t>With all that said, please do trust your judgment! I am sure we will have important discussions about these issues next time — which is exactly what we want 😊</t>
  </si>
  <si>
    <t>SDG 12 Description &amp; Targets</t>
  </si>
  <si>
    <t>SDG 12</t>
  </si>
  <si>
    <t>Ensure sustainable consumption and production patterns</t>
  </si>
  <si>
    <t>Target 12.1</t>
  </si>
  <si>
    <t>Implement the 10-year framework of programmes on sustainable consumption and production, all countries taking action, with developed countries taking the lead, taking into account the development and capabilities of developing countries</t>
  </si>
  <si>
    <t>Target 12.2</t>
  </si>
  <si>
    <t>By 2030, achieve the sustainable management and efficient use of natural resources</t>
  </si>
  <si>
    <t>Target 12.3</t>
  </si>
  <si>
    <t>By 2030, halve per capita global food waste at the retail and consumer levels and reduce food losses along production and supply chains, including post-harvest losses</t>
  </si>
  <si>
    <t>Target 12.4</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</si>
  <si>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</si>
  <si>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Target 12.5</t>
  </si>
  <si>
    <t>By 2030, substantially reduce waste generation through prevention, reduction, recycling and reuse</t>
  </si>
  <si>
    <t>Target 12.6</t>
  </si>
  <si>
    <t>Encourage companies, especially large and transnational companies, to adopt sustainable practices and to integrate sustainability information into their reporting cycle</t>
  </si>
  <si>
    <t>Target 12.7</t>
  </si>
  <si>
    <t>Promote public procurement practices that are sustainable, in accordance with national policies and priorities</t>
  </si>
  <si>
    <t>Target 12.8</t>
  </si>
  <si>
    <t>By 2030, ensure that people everywhere have the relevant information and awareness for sustainable development and lifestyles in harmony with nature</t>
  </si>
  <si>
    <t>Target 12.a</t>
  </si>
  <si>
    <t>Support developing countries to strengthen their scientific and technological capacity to move towards more sustainable patterns of consumption and production</t>
  </si>
  <si>
    <t>Target 12.b</t>
  </si>
  <si>
    <t>Develop and implement tools to monitor sustainable development impacts for sustainable tourism that creates jobs and promotes local culture and products</t>
  </si>
  <si>
    <t>Target 12.c</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</si>
  <si>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</si>
  <si>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Click here to see all other SDGs and targets.</t>
  </si>
  <si>
    <t>Labeling Sheets</t>
  </si>
  <si>
    <t>Please click on your name to access your personal labeling sheet. Names are listed in alphabetical order.</t>
  </si>
  <si>
    <t>Name</t>
  </si>
  <si>
    <r>
      <rPr>
        <rFont val="Arial"/>
        <b/>
        <color theme="1"/>
      </rPr>
      <t>Progress</t>
    </r>
    <r>
      <rPr>
        <rFont val="Arial"/>
        <b val="0"/>
        <color theme="1"/>
      </rPr>
      <t xml:space="preserve"> (will update automatically)</t>
    </r>
  </si>
  <si>
    <t>Finn</t>
  </si>
  <si>
    <t>Gib</t>
  </si>
  <si>
    <t>Jean-Baptiste</t>
  </si>
  <si>
    <t>Meike</t>
  </si>
  <si>
    <t>Steve</t>
  </si>
  <si>
    <t>Thank you for being part of this exercise and thanks to OSDG for the dataset! ❤️</t>
  </si>
  <si>
    <t>Text Selection</t>
  </si>
  <si>
    <t>FYI: You do not need to read this section. We are just documenting how the texts for this exercise were selected.</t>
  </si>
  <si>
    <t>In total, 100 texts were selected from the OSDG dataset for SDG 12. The reason for selecting each text is documented in the "Source" sheet.</t>
  </si>
  <si>
    <t>Automatic Selection (50 texts)</t>
  </si>
  <si>
    <t>50 texts were selected automatically</t>
  </si>
  <si>
    <t>- 25 texts that OSDG community labeled as "SDG 12"</t>
  </si>
  <si>
    <t>- 25 texts that OSDG community labeled as "not SDG 12"</t>
  </si>
  <si>
    <t>In the OSDG dataset, each text has an agreement score between 0 (equal positive and negative labels) to 1 (full consensus).</t>
  </si>
  <si>
    <t>Each set of the 25 texts above consist of:</t>
  </si>
  <si>
    <t>- 5 texts with agreement score &gt; 0.8</t>
  </si>
  <si>
    <t>- 5 texts with agreement score &gt; 0.6 and &lt;= 0.8</t>
  </si>
  <si>
    <t>- 5 texts with agreement score &gt; 0.4 and &lt;= 0.6</t>
  </si>
  <si>
    <t>- 5 texts with agreement score &gt; 0.2 and &lt;= 0.4</t>
  </si>
  <si>
    <t>- 5 texts with agrement score &gt; 0 and &lt;= 0.2</t>
  </si>
  <si>
    <t>For each permutation (label + agreement level), the five texts with the largest number of annotators were selected.</t>
  </si>
  <si>
    <t>Manual Selection (50 texts)</t>
  </si>
  <si>
    <t>25 texts that OSDG community labeled as "SDG 12"</t>
  </si>
  <si>
    <t>- 3 texts that relate to the goal as a whole</t>
  </si>
  <si>
    <t>- 22 texts (2 per target) that relate to the SDG targets</t>
  </si>
  <si>
    <t>25 texts that OSDG community labeled as "not SDG 12"</t>
  </si>
  <si>
    <t>- 3 texts that contain words relating to the goal as a whole</t>
  </si>
  <si>
    <t>- 22 texts (2 per target) that contain words relating to the SDG targets</t>
  </si>
  <si>
    <t>Text ID</t>
  </si>
  <si>
    <t>Text</t>
  </si>
  <si>
    <t>SDG 12 Label</t>
  </si>
  <si>
    <t>Comments (optional)</t>
  </si>
  <si>
    <t>a5de8ccef9a812d9b5c7cb312fee108f</t>
  </si>
  <si>
    <t>Part b) on measures taken before a product has become waste, that reduce the adverse impacts of the eventually generated waste on the environment and health also has some importance. Here though the focus should be on initiatives which reduce upstream environmental impacts caused by food waste rather than downstream impacts. This can be done for example through initiatives which reduce the share of products in food waste which cause a particularly high environmental impact during their production phase. Meat and dairy products are a prime example. The more edible food waste that is avoided in an economy, the less food production that is required to feed the population, with an accompanying reduction in environmental impacts caused during food production.</t>
  </si>
  <si>
    <t>fbb0aeba3247a1150aba110cad18dd81</t>
  </si>
  <si>
    <t>There are several forms of capacity building where governments and the private sector can contribute: technical assistance, research for responsible business practices, development of training manuals and guidebooks, development of regional support hubs and the strengthening of the Global Compact local networks. They can also encourage and facilitate communications among key stakeholders for developing and implementing SRB initiatives. A strong dialogue about SRB must be encouraged amongst stakeholders, such as governments, corporations, financial institutions, NGOs and CSOs, for their capacity building.</t>
  </si>
  <si>
    <t>c2f4320ebfc7a98e97162886129820b2</t>
  </si>
  <si>
    <t>As an industry, it often competes for prime real estate and juxtaposes visitors with different cultural practices and values to host communities, with consequent negative influences. Their economies and progress in development have been the subject of intense scrutiny, as a result of limitations in topographic character, vulnerability to natural disasters, climate changes and related impacts, threats to biological diversity, especially in coastal and marine areas, consumption of scarce natural resources, declining traditional productive sectors, poverty, and their reliance on the travel and tourism industry for economic performance. Large island nations comprising Papua New Guinea, Cuba, Hispaniola (Haiti and the Dominican Republic), Guinea Bissau and those located in Central/South America (Suriname, Guyana, Belize) make up the SIDS grouping with geographic areas in excess of 25,000 km2. There is significant variability in GDP per capita, as indicated in figure 8.3, with many of the more developed tourist economies such as Aruba, Singapore, US Virgin Islands (USVI) and the Bahamas, showing higher levels of prosperity.</t>
  </si>
  <si>
    <t>989a430a480dfb2df0c37dd028d91db8</t>
  </si>
  <si>
    <t>On another note, it is questionable whether there is even a need for a new scientific body for SAICM. As long as there are no legally binding obligations for states under SAICM, a scientific expert panel may not be needed. According to this view, the recommendations that SAICM provides could well be created without such a body.</t>
  </si>
  <si>
    <t>SAICM = Strategic Approach to International Chemicals Management</t>
  </si>
  <si>
    <t>3174e5f65fdec525ecf8be88f1898329</t>
  </si>
  <si>
    <t>These coverage percentages may be compared with the over 30 per cent of land covered by exploration licences in 2008 and the current aim of raising it again to 20 per cent. The Ministry estimates that about 30 per cent of the licensed area is being used, with the remainder idle because of low commodity prices, poor infrastructure or the risk of environmental impact. The number of licences for oil and gas and radioactive minerals is two orders of magnitude lower. Such permits are issued by soum and district governors based on the conclusions of NAMEM’s departments at local level.</t>
  </si>
  <si>
    <t>ad6accc9d24e23b3e302de529a942889</t>
  </si>
  <si>
    <t>Policy instruments based on EPR can also be designed to drive eco-design at the beginning of the product lifecycle. However, if the instruments are focused only on improved recycling without driving initial eco-design, EPR may not generate the desired economic and environmental efficiencies (Tojo, N., 2004). Outcomes from economic incentives alone, however, may not be sufficient to generate environmentally or socially meaningful results, because actors generally stop making improvements once the economic incentive to do so ends, whether or not sufficient social or environmental progress has been made. Examples of economic mechanisms employed by OECD governments include also disincentives such as increased fees on waste disposal, and incentives such as government procurement policies and a potential reduction in the value added tax (VAT) and tax for environmentally friendly products (all promoted by the government of the Czech Republic, among others).</t>
  </si>
  <si>
    <t>EPR = Extended Producer Responsibility</t>
  </si>
  <si>
    <t>84e48d25391c7a7cda69d5f9fb25ee36</t>
  </si>
  <si>
    <t>Complementing the theoretical approach outlined in the previous chapter, this chapter focuses on the practical and strategic side of implementation, considering the multiple dimensions of successful implementation. Effective policies therefore often have to be developed in collaboration between line ministries. It is important to have effective mechanisms in place to support such collaboration.</t>
  </si>
  <si>
    <t>703dd858d96d671944d27c5a06867a10</t>
  </si>
  <si>
    <t>The indicator has an indirect relevance to food waste prevention since the more food waste that is avoided the lower should be the amount of food that is purchased for consumption to provide for the same intake of nutrients. It should be noted that the indicator is only relevant to reducing food waste at the end point of consum p-tion i.e. in households, restaurants canteens etc. However, the indicator can be affected by factors which are unrelated to waste prevention. These can include changes in food consumption behaviour-i.e. However, the indicator has been criticised in the past due to assumptions made in the calculations. Its acceptability as a food waste indicator might also be reduced as it has not been used in this context before.</t>
  </si>
  <si>
    <t>3c57594c5de7b481d01d64593f4e51cb</t>
  </si>
  <si>
    <t>Design-for-disassembly was formulated to promote the easy recovery of parts and materials during the product disassembly process, while design-for-environment called for minimizing pollution and promoting resource conservation during product or system design. In product life-cycle considerations, extended producer responsibility (EPR) may be realized in collaboration with intelligent consumer behaviour. The European Union (EU) and WBCSD have shifted the leading concept of a resource-circulating society from sustainable production and consumption in the 1990s to sustainable consumption and production in a “consumer society”.</t>
  </si>
  <si>
    <t>54b2538e906a8d503d9a71159d1d36ca</t>
  </si>
  <si>
    <t>It also prepares technical documentation related to chemical safety that can be downloaded from its website. The documentation includes government manuals, SDS and information on the GHS and other UN initiatives. There are ten ARLs - effectively insurance companies that cover workplace injuries and illnesses, each with a different focus.</t>
  </si>
  <si>
    <t>ee172df5f44bbedc59dd865962f75452</t>
  </si>
  <si>
    <t>These inequalities were exacerbated by the structural adjustment programmes of the 1980s, the liberalisation of the economy in the 1990s, and the rapid growth of financial services after the liberalisation of financial markets in 1991. On the advice of the international financial institutions, governments have opted to offer targeted assistance to poor households rather than generalised subsidies on basic goods (e.g. staple foods) and services (e.g. water and electricity). Towards this end, the government has tracked the incidence and prevalence of poverty, and conducted poverty mapping to be able to identify the vulnerable households.</t>
  </si>
  <si>
    <t>57946c8dba1a1a85b2078da67f09fea7</t>
  </si>
  <si>
    <t>Refrain from seeking or accepting exemptions not contemplated in the statutory or regulatory framework related to human rights, environmental, health, safety, labour, taxation, financial incentives, or other issues. Support and uphold good corporate governance principles and develop and apply good corporate governance practices, including throughout enterprise groups. Develop and apply effective self-regulatory practices and management systems that foster a relationship of confidence and mutual trust between enterprises and the societies in which they operate.</t>
  </si>
  <si>
    <t>d679f7406fda45349991085239143a4e</t>
  </si>
  <si>
    <t>Good corporate governance makes for good business for all. Good corporate governance helps reduce the risks that smaller firms may face as well. At the other end of the spectrum, cases of corporate malfeasance in state-owned enterprises illustrate that regardless of size or ownership, good corporate governance is critical.</t>
  </si>
  <si>
    <t>7a0048449e06bdb2c71ac177c5ced3c1</t>
  </si>
  <si>
    <t>A delicate balance has to be maintained and this is where voluntary initiatives such as the Global Sustainable Tourism Council (GTSC) certification scheme play a critical role: there is no confrontation since the industry has voluntarily agreed to follow norms which will not only meet but frequently exceed the requirements of the law. The recommendations are based on a list of 12 principles for sustainable tourism development. Typically the Sustainable Tourism Criteria established by the j Global Sustainable Tourism Council extend to measurable indicators I and an appraisal and certification scheme which is rapaidly gaining j acceptance by the accommodation sector. Laws pertaining to land use, access, waster disposal, I pollution control, minimum wages and the like exist in almost all | countries: occasionally, these are relaxed for the tourism indistury in some developing countries in an effort to attract foreign tourists and i investments in the industry.</t>
  </si>
  <si>
    <t>sustainable consumption in the tourism sector</t>
  </si>
  <si>
    <t>5a35e4bb86235463eff5866e9ee79739</t>
  </si>
  <si>
    <t>More sustainable alternatives should be available and easily accessible, as well as suitable infrastructure to make it easier to practice sustainable behaviour. Even well-intended people cannot live sustainably if there are no sustainable products and alternatives available. These could include peer pressure, putting more taxes on unsustainable options and funding more sustainable practices. For example by providing input to policy design, in expressing what is meaningful to them and what they care about in real life and in society, in understanding the advantages and disadvantages of certain behavioural patterns.</t>
  </si>
  <si>
    <t>13da70ac3a8ad54df495da6e6bf5bf08</t>
  </si>
  <si>
    <t>Children and youth in cities”, in ISSC/UNESCO, World Social Science Report 2013: Changing Global Environments, OECD Publishing and Unesco Publishing. Each author is responsible for the facts contained in his/her article and the opinions expressed therein, which are not necessarily those of UNESCO, ISSC and do not commit either organisation.</t>
  </si>
  <si>
    <t>43db05d16c51cafb451321dbca30d967</t>
  </si>
  <si>
    <t>This huge increase alone speaks of amazing achievements in terms of ICT access and bridging the digital divide. This interpretation, however, would be very narrow as the factors leading to ICT access are bound to interact with the environments in which they operate. In this case, a critical analysis of mobile subscriptions by level of development should trigger alarm bells as the sharp increase in ICT access is inordinately skewed towards developing countries as illustrated in figure 9.2.</t>
  </si>
  <si>
    <t>c4fd5fb66459273c5dc10c4de4266f85</t>
  </si>
  <si>
    <t>Its mandate is to foster cooperation between its 53 members and 9 associate members. It supports Governments of the region in consolidating regional positions and advocates regional approaches to meeting the region's unique socio-economic challenges in a globalizing world. The ESCAP head office is located in Bangkok, Thailand, with subregional offices in Almaty, Kazakhstan, Incheon, Republic of Korea, New Delhi, India, and Suva, Fiji. Please visit our website at &lt;www.unescap.org&gt; for further information.</t>
  </si>
  <si>
    <t>a941f19e7545ea877b4b9510f0be6a63</t>
  </si>
  <si>
    <t>In 2014, the System was extended to include a dedicated web portal. This cadastre provides public access to the processes of issuing and reissuing of licences, licence revocation, transfer, pledge and surrender for the entire or a part of the licensed area, as well as to maintaining a register of licences. One of the main objectives of this tool is to prevent licences from overlapping other licences or protected areas.</t>
  </si>
  <si>
    <t>a218ee95081ac58f5a8c35f0fb15c302</t>
  </si>
  <si>
    <t>The criteria for commitments are (1) advance one or more United Nations goal/issue, (2) include time-bound target(s) that can be measured for success, and (3) include an agreement to publicly disclose, on an annual basis, progress made to realize the commitment, throughout its duration. In all these areas issues related to innovation and collaboration were discussed. Available from http://www .unglobalcompact.org/docs/news_events/2012_CSF/Rio_CSF_Overview_Outcomes.pdf.</t>
  </si>
  <si>
    <t>link to global compact</t>
  </si>
  <si>
    <t>37a02127ec1fb10fd005080ea6671271</t>
  </si>
  <si>
    <t>Many countries have modernised their societies and economies enabling the greatest level of material wellbeing ever experienced. These changes were most prevalent in OECD countries and in urban centres in developing countries. The use of natural resources -biomass, fossil fuels, ores, minerals and water - has grown dramatically from less than 10 billion tonnes in 1950 to over 70 billion tonnes in 2010 (UNEP, 2011). This level of resource use was largely based on the assumption of limitless resources and overlooked the connections between resource use and environmental impacts.</t>
  </si>
  <si>
    <t>9b3e0c684586646ce9eed8a9821e0b59</t>
  </si>
  <si>
    <t>It takes stock of policy initiatives to reduce waste generation, encourage recycling and ensure safe disposal of municipal and hazardous waste. The chapter also highlights progress in integrating informal waste pickers into municipal waste management. It discusses the environmental and economic implications of specific measures, such as extended producer responsibility and waste collection charges. National, regional and local authorities have well-defined responsibilities in waste management.</t>
  </si>
  <si>
    <t>039e770089eb0cbfb193a3ae3fadb893</t>
  </si>
  <si>
    <t>International donors increased their involvement in waste management during the last few years and this resulted in improvements in management of obsolete pesticides and expired chemicals, but management of municipal and manufacturing waste is developing slowly and old practices remain. This development reduced generated amounts of waste and in some sectors also decreased the amount of waste previously accumulated. The development of modem waste management infrastructure is still in the initial phase.</t>
  </si>
  <si>
    <t>f83637f12da543fd9df8cb97ade0ef3c</t>
  </si>
  <si>
    <t>There are also examples at the national level. The Dutch Sustainable Growth Coalition, for example, unites the eighth largest big multinationals in shaping, sharing and stimulating sustainable business models. The changing role of business in society is also reflected in the increased participation by businesses in the discussions in various forums of the United Nations such as UN Global Compact, the development of the UN Sustainable Development Goals, as well as at international conferences such as the Rio+20 conference, which confirmed the importance of corporate sustainability reporting. When moving towards green growth requires a joint public private approach then there should also be more convergence between public and private measurement and reporting to follow the progress made to achieve the goals of green growth.</t>
  </si>
  <si>
    <t>corporate sustainability reporting</t>
  </si>
  <si>
    <t>d743d13d397544036f2266ae050c2dd8</t>
  </si>
  <si>
    <t>According to the System of National Accounts, the principles underlying International Financial Reporting Standards are in most cases consistent with its principles, providing a comprehensive, consistent and flexible set of macroeconomic accounts.11 The System of National Accounts states that there could be areas of difference between the two systems, however, cooperation would be useful with a view to showing a reconciliation between the two positions.</t>
  </si>
  <si>
    <t>dfd51e36b47fe8a10fdd1d789001501e</t>
  </si>
  <si>
    <t>Commercial waste, street sweepings and ash were not included in this analysis. These show comparable results, differing only in metals fraction, because the EcoPark study also included waste separation and recycling data. Construction waste is normally found in MSW in a share lower than 1 or 2 per cent, therefore, it was excluded from data reported by Batbileg et al.</t>
  </si>
  <si>
    <t>14ddb3509efb3be82081e905f697dba3</t>
  </si>
  <si>
    <t>The strategy's objectives are to sensitize and raise awareness among school children of the negative impact that using plastic bags has on the environment, to encourage schoolchildren to replace plastic bags with other less-polluting alternatives and to teach them how to properly dispose of plastic bags after use. A key event was organized for Earth Day 2010 in all the schools, and a guide to waste management was widely distributed at the event. The children not only participated in collecting plastic bags at nature sites and clean-up projects, but were also asked to pass on what they learned to friends and neighbours.</t>
  </si>
  <si>
    <t>e63e24fa452209fc8000bc37d582ff2c</t>
  </si>
  <si>
    <t>Policy principles and objectives have been established, municipalities are required to prepare Integrated Solid Waste Management Plans and technical regulations and guidelines have been issued. However, the policies and action plans that were developed in parallel to address waste issues at national, regional and municipal levels do not provide comprehensive and consistent guidance. As a consequence, opportunities to increase the environmental effectiveness and economic efficiency of waste policies (by developing an efficient waste infrastructure network, for example) remain unexploited. Positive policy developments include the 2010 Policy on Sustainable Production and Consumption, efforts to promote cleaner production, an ambitious policy on extended producer responsibility (EPR) and attempts to establish green public purchasing.</t>
  </si>
  <si>
    <t>1cd8c5958dad8616aabc4fa432b5ead7</t>
  </si>
  <si>
    <t>For material flows and waste there are still unresolved conceptual issues and establishing indicators requires a lot of effort, if they are based on a national physical input-output table showing interdependencies among sectors in physical flows. We have employed sectoral footprints to show the natural resource use per expenditure in sectors. Footprint accounts deliver sectoral disaggregation by expenditure categories for products of major sectors.</t>
  </si>
  <si>
    <t>4e9eb663a8c64d8e3cabfe7e4b87d7d0</t>
  </si>
  <si>
    <t>In this sense, it was based on natural resources that were transformed into cement using energy-intensive processes. Again, the viability of this industry assumed cheap energy supplies. Demand for middle-class housing, hotels and physical infrastructure drove the rapid expansion of the construction sector in the 1950s and 1960s. The supply of housing and hotels was also dependent on imported building materials and construction equipment.</t>
  </si>
  <si>
    <t>18900ef1e2742e858bbed6264b3a046c</t>
  </si>
  <si>
    <t>It is therefore evident that current patterns of consumption and production are environmentally unsustainable and socially inequitable. Economic growth, human development and wellbeing would need to be substantially decoupled from resource use and environmental impact (UNEP, 2011). Achieving gains in decoupling will not happen spontaneously, but will require well designed public policies that enable economic restructuring toward sustainable consumption and production and resource efficiency.</t>
  </si>
  <si>
    <t>759b95e2698c40e89242d61169ef6b4d</t>
  </si>
  <si>
    <t>We have not been able to get a clear answer from the responsible person at Teijin, and in the basic scenario it was therefore chosen to use a conservative approach, assuming a low yield of the process. For climate change, the increased efficiency means that there is a net benefit instead of an impact. The same finding is seen for human toxicity, cancer effects.</t>
  </si>
  <si>
    <t>fa745ce3576ef1930376e33760b5d835</t>
  </si>
  <si>
    <t>It can provide better recreational and cultural facilities but also create overcrowding, traffic congestion, litter, vandalism and crime (UNESCAP 2003). Started as the World Tourism Organisation in 1970 when its statutes were adopted, it became a working entity in 1975 with Headquarters in Madrid and joined the UN system in 2003, becoming known as UNWTO. Following the recommendations of the Johannesburg Plan of Implementation (JPOI) that “developed countries must take the lead" in accelerating the shift towards more sustainable consumption and production, each of the Marrakech Task Forces was chaired by a developed country.</t>
  </si>
  <si>
    <t>08ee208db6cafa5ea057212223ece39c</t>
  </si>
  <si>
    <t>One legacy of that programme was the establishment of the Programme of Advancement through Health and Education (PATH), a conditional cash transfer programme that now constitutes the core of the social safety net. Advocacy has been initiated by scientists and their students in the Climate Studies Group of the Department of Physics at the University of the West Indies (UWI), individual scholars in the Faculty of Social Sciences, the Centre for Sustainable Development at UWI, as well as by various ENGOs. Some of the research and the outreach based on this work have been funded by the Caribbean Community Climate Change Centre (CCCCC) and the Environmental Foundation of Jamaica (EFJ).</t>
  </si>
  <si>
    <t>78906f21b8873984506469c09306a3e3</t>
  </si>
  <si>
    <t>The varied relief has resulted in several distinct climatic regimes, with the prevailing south-east trade winds depositing moisture in the form of rainfall over the central and highest part of the island. A significant feature of Mauritian climatology, however, is the occurrence of tropical cyclones during the summer months. Almost 300 endemic species have been identified, of which the most famous was the Dodo, a large flightless bird now extinct. Permanent human settlement started in the fifteenth century and, ever since, the environment has come under severe threat as its few precious resources (such as ebony) have been exploited indiscriminately.</t>
  </si>
  <si>
    <t>2d147468df0200d5f90ff5d75bcadbe6</t>
  </si>
  <si>
    <t>Against a backdrop of social issues, natural resource limits and waste problems, the question of how people live and consume - the lifestyles they pursue - becomes central to sustainability. The continuing increase in population in Asia, Africa and Latin America needs to sustain itself, in a fast growing economic environment, the level of material consumption per person also increases. For example, according to the African development Bank (AtDB 2011), there was a growth rate of 3.1% in the middle-class (defined as those consuming between 2-20 USD per day) in Africa, rising from 126 million people (27%) in 1980 to 350 million (34%) in 2010.</t>
  </si>
  <si>
    <t>64aced7c4d814e32f8a3cfe50ddd81c9</t>
  </si>
  <si>
    <t>These are primarily wind, solar, hydro, biofuels and co-generation. In addition, governments have partnered with private sector and civil society organisations to support small and microenterprises with training and concessionary financing. The annual budget is Jamaica’s short-term plan. There is also a rolling three-year Medium Term Social and Economic Policy Framework, and an annually revised three-year macroeconomic plan, which frames the annual budget. In theory, all of these should be aligned with one another within the long-term plan, Vision 2030. In addition, there are ongoing initiatives to prepare parish plans under the Local Sustainable Development Plans, which also ought to be aligned to the national plans.</t>
  </si>
  <si>
    <t>34b4f1f3f5ea4fe7b006371c5ed60765</t>
  </si>
  <si>
    <t>During the latter two decades, protected areas have gradually become more closely connected to their economic and social environments, with an emphasisto integrate national parksto wider regional and local development processes (see e.g. Puhakka and Saarinen (2013). In peripheries, closer connections between the tourism industry and national parks are used as tools. While the original biocentric conservation policy used to be characterized by top-down governance, stakeholders of the local communities and the tourism industry are today increasingly involved in adaptive management strategies. During the last three decades, international tourist arrivals to Iceland have generally increased, including by 25% over the past six years. The number of international visitors to Iceland was approximately 2.3 million in 2017, which is almost seven times more than the entire Icelandic population. Tourism is now one of the main pillars of the economy and represents the country's largest export sector.</t>
  </si>
  <si>
    <t>ea3c7154e3fd84c3e502a9219b2e3cc8</t>
  </si>
  <si>
    <t>However, it does not include information on when licences are applied for (while providing the date of issue), nor on the reasons for and conditions on the numerous licence transfers. There is also a problem at present with accessing the area covered by petroleum licences in the Ministry of Mining and Heavy Industry database. In addition, the Ministry of Environment and Tourism is not providing the most recent data on receipts to its special fund for mining rehabilitation, arguing that this is not permitted by banking legislation. Further, though licence holders provide information to the EITI, they are often unwilling to present the same information on their own websites, thus reducing transparency.</t>
  </si>
  <si>
    <t>6f4ffd29a57cb6598908ad274d7dfdaa</t>
  </si>
  <si>
    <t>Not to act is no longer an option. And I was encouraged by the sense of reality shown by the G8-leaders a few weeks ago, when they talked about a 50% cut in global emissions by 2050. It bodes well for the Conference of the Parties to be held in Copenhagen in 2009, where we will work hard to reach a global deal beyond Kyoto.</t>
  </si>
  <si>
    <t>9fef02dedda6d91de6e74e1d7d3baab2</t>
  </si>
  <si>
    <t>It identifies opportunities and challenges for implementing SPP and provides guidance for governments in developing and implementing successful SPP programs. It saw reiteration in the Johannesburg Plan of Implementation in 2002 and more recently, at the 19m Session of the Commission on Sustainable Development in 2011. It forms part of the 10 year Framework of Programmes suggested at the recently concluded Summit in Rio in June 2012.</t>
  </si>
  <si>
    <t>SPP = Sustainable Public Procurement</t>
  </si>
  <si>
    <t>ad30b568778b199cdbabb1a10d691944</t>
  </si>
  <si>
    <t>It is often difficult to see from the statistics if this waste is included. Due to new EU - regulations this system no longer exists (withdrawn in 2003). The newest data is therefore from 2001 when it was collected 21,000 tons of food waste. The system of separate collection of food waste included commercial kitchens that generated more than 100 kg / week. Smaller kitchens and kitchens in cost sector were not covered by the collection scheme.</t>
  </si>
  <si>
    <t>175fad9c8b9dcce44c7cc98b032d07e1</t>
  </si>
  <si>
    <t>Importantly, the IUCN works through specialist commissions that provide the Union with information and know-how. All the members of the IUCN together agree on, for example, the work programme of the organization. This would mean conducting studies and developing new policy recommendations or instruments based on the latest scientific findings. In addition, the IUCN governance structure could be used as a partial model for the post-2020 chemicals and waste management regime: the ICCM acts as the general assembly of members, and a governing council could be established to work under the direction and monitoring of the ICCM.</t>
  </si>
  <si>
    <t>0963ea06d1b60ca64affa94911f329d2</t>
  </si>
  <si>
    <t>In response, international organizations such as the UN Development Programme (UNDP), the UN Environment Programme (UNEP) and the Organisation for Economic Co-operation and Development (OECD) have promoted the exchange of policy initiatives, action programmes and practices among member countries, industrial associations and academic institutions. For example, UNEP introduced cleaner production (CP), which promotes a shift from end-of-pipe treatment to pollution prevention, while the UNDP has appealed for environmentally sound technology in technology transfer programmes and assistance to developing countries. In the follow-up meeting after the Rio Declaration and Agenda 21, the International Human Dimensions Programme (IHDP) was established as a collaborative platform for social scientists and policy-oriented academics.</t>
  </si>
  <si>
    <t>e9c0953d695ff92ee3c092d3b13b280c</t>
  </si>
  <si>
    <t>This increase can be caused by both an actual increase in waste generation and by improved monitoring of collected waste amounts. The average MSW composition was derived from analyses in Minsk, Gomel, Mogilev, Bobruisk and Polotsk (table 6.2). Also, analysis of waste composition was performed in Minsk Oblast in 2013.</t>
  </si>
  <si>
    <t>0bafd5e13fe32c31b5b4d9f7536c941d</t>
  </si>
  <si>
    <t>Some definition of technology is necessary- it should be 100% recyclable under readily available current technology. Cotton/polyester mixes, for example, can be more technically durable than pure cotton. This suggests that the 100% recyclable stamp would be more applicable to fast fashion and not recommended for textiles where lifetime is generally limited by technical strength rather than change in style or change in fit e.g. bed-linen. This would rule out linking to some of the information proposed in the provision - unless the regulation was to be changed.</t>
  </si>
  <si>
    <t>86236555aba7f7bec5e1aed8f189e77a</t>
  </si>
  <si>
    <t>At local level, the main partners have been the collaboration of local food producers, R0rosmat as well as the R0ros Museum and World Heritage and local businesses. Destination Roros is currently (spring 2016) undergoing the recertification process. Additionally, the goal is to encourage even more companies to apply for an environmental certificate and to train more people.</t>
  </si>
  <si>
    <t>17a9f0d1e3733dac32f98dd1b6ee7ae0</t>
  </si>
  <si>
    <t>Owing to success of the first phase, UNU and Shimadzu agreed to continue the project, establishing the second phase in 1999. In continuation of the previous project, the same research group in each country was kept as partner and national implementation unit. The Philippines joined the project at the beginning of the second phase. The three components were closely linked together and implemented through collaboration of the UNU network on coastal issues.</t>
  </si>
  <si>
    <t>861a903bf623d4873b2e27e84775ea64</t>
  </si>
  <si>
    <t>In moving towards green growth such frameworks should where applicable be aligned. However, in recent years the term "accounting" has also been applied to non-financial aspects. Corporate accounting can be defined as the identification, collection, estimation, analysis, internal and external reporting, of economic, social and environmental effects and impacts to provide accountability to stakeholders on strategy, actions and performance and to support internal and external decision-making.</t>
  </si>
  <si>
    <t>53a72b1c4248dc4bbce2a197b5573d72</t>
  </si>
  <si>
    <t>The transformation process is necessarily long term. With governments elected for five years, there is an inherent tendency to postpone addressing long-term development issues that is all the more difficult in the context of a highly partisan political tradition that resists consensus over development strategies. Progress in mainstreaming the environmental dimension of sustainable development strategies has been slow. Such policies address cross-cutting issues, and in the Westminster system of sectoral portfolio ministerial responsibilities, such issues tend to fall between ministerial responsibilities.</t>
  </si>
  <si>
    <t>0342980e48fbffd359a20628d9450485</t>
  </si>
  <si>
    <t>Mauritius covers a total land area of 720 square miles, and is almost entirely of volcanic origin, except for stretches of beaches, coral reefs and small patches of alluvium at the mouths of rivers. Pear-shaped, mountainous with its highest peak standing at 2,711 feet above sea level, Mauritius emerged from the ocean floor some 5 million years ago. Volcanic activity over thousands of years has given rise to varied types of soil.</t>
  </si>
  <si>
    <t>f0d7085f21c4e88d7448e29c10b34cee</t>
  </si>
  <si>
    <t>This trend has been boosted by market liberalization and augmented by convergence, new technologies and resultant innovations such as mobile phones which continue to be the most rapidly adopted technology in history. While sector growth has been experienced worldwide, the impact has been exponential in developing countries. Today the mobile phone is the most popular and widespread personal communication technology on the planet, with an estimated average subscription world rate of 87 per 100 inhabitants in 20111.</t>
  </si>
  <si>
    <t>3b1add4085af6afe2ca52a55fc3fb5a9</t>
  </si>
  <si>
    <t>In addition, the Major Groups and other Stakeholders (MGOS)21 group seeks to represent all sectors of society in international environmental and developmental policy-making. It appears that MGOS do not have an established position within SAICM, the representation of stakeholders is sectoral and the involvement of all major groups is not automatic - for example, organizations focused on promoting the rights of women, children, and indigenous peoples do not routinely participate in SAICM meetings. In 2015, the ICCM4, in its Resolution i/IV (para 5), called for the deepening and broadening of UN system-wide engagement through the work of IOMC and EMG. Furthermore, the WHO has been working with the SAICM Secretariat to provide a service to facilitate access to the Trust Fund, to establish an informal network of health-sector focal points for sharing experience, and to collect and share information on the capacity-building needs of the health sector (WHO 2010).</t>
  </si>
  <si>
    <t>b877f11b0df84d337b544b552a684afd</t>
  </si>
  <si>
    <t>In their comprehensive analysis of revenue management of Scottish tourism attractions, Leask et al. ( Including stakeholders is therefore often perceived from governmental perspectives as an obstacle to efficient planning. Conflict resolution, meditation and the building of a consensus about shared platforms should nevertheless be seen an integral component of sustainable tourism development and planning (Hall, 2008, McCool, 2009). In other words, tourism should be considered in the context of other systems that interact with tourism (Ritchie and Crouch, 2003).</t>
  </si>
  <si>
    <t>83a90deca523f0cfc53e97ed2921a6a6</t>
  </si>
  <si>
    <t>The importance of considering products and services in terms of their complete lifecycle is introduced and explained. This remains the single most important of the Millennium Development Goals. Economic growth is thus of key importance to developing countries and many of their policymakers believe that developed countries, having already accomplished a high level of satisfaction of their needs, now wish to suggest frugality and restraint on consumption in the developing world. China, for instance, is now considered the "factory to the world”.</t>
  </si>
  <si>
    <t>293bd72b65dfbb4252d5df5ee43dee5a</t>
  </si>
  <si>
    <t>Indicators can go beyond simple data and illustrate trends or cause-and-effect relationships between different phenomena. Indicators are useful for describing baseline and current conditions (e.g. the amount or magnitude of something) and the performance of a system. They can provide the common language for describing a particular system that is needed for effective and clear communication among interested parties (McCool and Stankey, 2004).</t>
  </si>
  <si>
    <t>197c9502970d6583f6f3e33dceb5550f</t>
  </si>
  <si>
    <t>Having been conceived, tested and refined in Dhaka, the IRRC approach was found to be robustly suited to the realities of low and middle-income cities. Under this project, ESCAP and Waste Concern, in partnership with national and local governments, community groups and technical teams, promoted the IRRC model in 17 cities, ultimately establishing facilities and pursuing associated activities in seven of them (Figure 4). The centre is a small-scale facility that can receive different types of waste, including organic and inorganic waste, and then transform it all into resources, such as compost, biogas and other fuels and clean recyclable material.</t>
  </si>
  <si>
    <t>062372c7882af8f7bb84943024eb6a2c</t>
  </si>
  <si>
    <t>Its mandate is two-fold: to promote energy security amongst its member countries through collective response to physical disruptions in oil supply and to advise member countries on sound energy policy. This paper reflects the views of the IEA Secretariat and may not necessarily reflect the views of the individual IEA member countries. The study also draws on contributions of Franziska Mueller-Langer, Jens Giersdorf and Anastasios Perimenis of the German Biomass Research Centre (DBFZ), who provided parts of the sustainability chapter and four country profiles commissioned by the Deutsche Gesellschaft fiir Technische Zusammenarbeit (GTZ).</t>
  </si>
  <si>
    <t>1365feccc61adc4814c64ff7d9303893</t>
  </si>
  <si>
    <t>Further extending the green purchasing requirements to local governments would enhance the effectiveness of the policy, in particular since a large share of public expenditure is invested locally. In expanding its green purchasing policy, the government should make sure that it targets goods and services with the highest potential environmental returns. This outcome was achieved with minor increases in public expenditure. Since the introduction of the green public procurement policy, the market shares of eco-friendly products widely used in the public administration have substantially increased (Figure 9). According to MOE’s estimates, the national government’s green purchasing policy resulted in a reduction of C02 emissions by 89 500 tonnes in 2006, which is equivalent to the amount of C02 emitted by a town of 42 000 inhabitants. The financial implications of Japan’s green public procurement policy and the overall costs to the Japanese economy of achieving such emission reductions should be assessed and compared with the costs of alternative policy measures.</t>
  </si>
  <si>
    <t>public procurement</t>
  </si>
  <si>
    <t>89ca4fa4c89388e266f44db315cd78d8</t>
  </si>
  <si>
    <t>The statement was made in 1972, long before the world became conscious of acceleration in anthropogenic GHG emissions. Nevertheless, Mrs Gandhi’s statement was one of the earliest to create a direct link between environmental concerns and poverty alleviation. Neither can the poor be held responsible for the major part of the GHG emissions.</t>
  </si>
  <si>
    <t>e4ff2d35f08d2d1acc0d03aa9df6f4b9</t>
  </si>
  <si>
    <t>These challenges include issues of ownership, economic leakage (from the local economy and through imports), local employment, benefit distribution, social and environmental impacts and dependency. These problems can only be effectively addressed at the destination level with the active participation of the local communities. It summarises by stating that "The effective development, execution and management of a successful pro-poor tourism strategy reaches far beyond local communities”.</t>
  </si>
  <si>
    <t>4305276298bfe07e216b55b3e150ff68</t>
  </si>
  <si>
    <t>For the last one a comply or explain principle is in use. To enable readers to find the particular sustainability information in the report, GRI is using a mandatory content index table that informs the reader on what page the disclosures or the indicator can be found. The Guidelines of the IIRC are currently in development and will be released as draft in April 2013 and finalized by the end of 2013.</t>
  </si>
  <si>
    <t>8b7a84a06c90ba7a095b0307ada9a5f2</t>
  </si>
  <si>
    <t>Additional documentation is required in an application for mineral water use. The issuance of the permit itself, and the signing of a contract with the water user, is done by the State-owned enterprise, Mongol Us ("Mongolian Water"). In the case of the utilization of water for strategically important minerals, the duration of the water use permit is the same as for the exploitation licence.</t>
  </si>
  <si>
    <t>a287d825bd346605da1b8e5017d13524</t>
  </si>
  <si>
    <t>The initiative engaging the manufacturer, Grameen Bank, National Building Research Organization and vulnerable families encourages the use of local sustainable building materials, quality durable construction and livelihood considerations such as including shop fronts in the houses. The initiative required a high degree of informal collaborative learning and training. Learning occurs at both the level of the community, as well as within the company, where lessons of Mexican success are explored to be translated across other regions.</t>
  </si>
  <si>
    <t>6f18255d6435f943053c754e2ff406e0</t>
  </si>
  <si>
    <t>While this may or may not lead to a net increase in employment, it will change the skill profile of the workforce. Governments should therefore assess new job skill requirements and adjust education and training programmes accordingly. This could help to co-ordinate efforts by engaging key stakeholders, to monitor progress, and generally to provide the political impetus needed to achieve ambitious policy objectives.</t>
  </si>
  <si>
    <t>1b8a501a7bbb0802fa4a05da3a8cd65a</t>
  </si>
  <si>
    <t>At the same time internal transparency through environmental management accounting started to increase with a business rationale to improve efficiency and reduce costs, in relation to using natural resources, reducing emissions to air, water and soil, as well as in reducing waste. More recently companies increasingly see the relevance of sustainability for their long term business continuity and identify sustainability challenges as a business growth driver. They even transform their business to address such business opportunities. The company, DSM, active in health, nutrition and materials, for example, is not only changing from a chemical company to bio-based solutions, but also focuses its business activities much more on nutrition, as this will be a major global challenge.</t>
  </si>
  <si>
    <t>eeccafbe1d2736fec1608bfebb02b882</t>
  </si>
  <si>
    <t>Between 2000 and 2008, Japan’s economy grew by about 1.3% annually, a rate below the OECD average (about 2% per year). As a result of the global economic slowdown of 2008, the Japanese economy contracted sharply, and w'as dragged into the deepest recession since the Second World War (Section 2). Similarly, the OECD Europe aggregate does not include Estonia and Slovenia. In 2009, Japan’s GDP per capita in purchasing power parity was USD 29 800 and the OECD average was USD 30 500.</t>
  </si>
  <si>
    <t>12128c9d99e298a5a86fec6053a25347</t>
  </si>
  <si>
    <t>There is high uncertainty of data, because of the lack of data verification procedures. Additionally, as well as receiving user fees, collection companies receive a subsidy from the municipality, which is based on the amount of w aste collected and distance to the disposal site. Disposal site operators do not collect a gate fee but receive a subsidy based on the amount of waste received.</t>
  </si>
  <si>
    <t>4d5ac9213ea93621546badea52220286</t>
  </si>
  <si>
    <t>The project investigates the possibility for using policy actions to support and expand the market for waste plastics in the Nordic region. This has the objective of increasing the recycling of plastics and minimising the down-cycling and incineration of plastic waste. Separately collecting and recycling this plastic waste would have significant economic and environmental benefits. For example, recovering and recycling half of the plastic waste generated in the Nordic countries corresponds roughly to a reduction of greenhouse gas emissions equivalent to the total emissions from cars in the Nordic capitals.</t>
  </si>
  <si>
    <t>201aa211051c6d69b54de666dbd44994</t>
  </si>
  <si>
    <t>The industry added USD 44 billion to the US GDP in 2015 and paid USD 10 billion in taxes (RFA, 2016). One strategy to ultimately reach the Renewable Fuels Standard (RFS) targets is to make stepwise improvements in the existing biorefinery concepts. These stepwise improvements must include a regional strategy that builds in enough flexibility to use the “cheapest sources of renewable carbon” within a given region. Such flexibility implies, for example, using grain sorghum, switchgrass, or miscanthus in the US Midwest, sweet sorghum or cane sugar in the US South, guayule bagasse in the US Southwest, almond hull sugars in California and even citrus peel waste in Florida.</t>
  </si>
  <si>
    <t>e459110a0e5288867d180b786d5e620a</t>
  </si>
  <si>
    <t>Topics that have both an impact on the organization as well as on its stakeholders are the most material and therefore are discussed in more depth in the sustainability report. Once these topics are selected the company can identify the related indicators and use the GRI protocols to measure the data. Currently the GRI has three application levels, differing from reporting on 10 indicators with particular context information (Level C) to reporting on all material indicators (Level A).</t>
  </si>
  <si>
    <t>e072c8b659169b5939e49be5c5fc3ae3</t>
  </si>
  <si>
    <t>To do this, Section 1.1 looks at the reasons why fossil-fuel subsidies are generally considered to be harmful for the economy and the environment. Section 1.2 then shows how this helps explain the recent emergence of a consensus for reforming fossil-fuel subsidies, and how this growing consensus has led to a number ofpolicy initiatives internationally and domestically. Section 1.3 then concludes by placing the OECD Inventory onto that broader stage, emphasising the important role it plays in ongoing discussions of energy policies and their reform. The use of such data by the OECD is without prejudice to the status of the Golan Heights, East Jerusalem and Israeli settlements in the West Bank under the terms of international law.</t>
  </si>
  <si>
    <t>ce798611bb26ebcb1fd0887f02a72387</t>
  </si>
  <si>
    <t>Some of the chemical applications to control weeds and pests on the plantations have run off from rain into the rivers and transferred to the inshore, especially the main harbour in Kingston. In other cases, chemicals have soaked through the soil into underground aquifers. This is particularly true of the acidic waste from the processing of bauxite ore, which is deposited in lakes of red mud.</t>
  </si>
  <si>
    <t>0686b17a9aeedb103f46b38f9d94eeb8</t>
  </si>
  <si>
    <t>Thus the government's role is dual. On the one hand, it must act as a facilitator by providing the necessary infrastructure for tourists, promoting attractions and encouraging tourist arrivals. On the other hand, government’s role is to enforce laws of the land and these may, in some cases, be in conflict with its role as a promoter of tourism.</t>
  </si>
  <si>
    <t>78625638c482b151a88161b2f6e4894f</t>
  </si>
  <si>
    <t>Resource efficiency can be achieved by increasing resource productivity (value added / resource use) or reducing resource intensity (resource use / value added). It is related to strategies like dematerialisation, such as fuel efficient cars. It will be clear that no production can be said to be sustainable if it is profligate in the use of resources, thus there is a direct link between resource efficiency and SCP, particularly sustainable production.</t>
  </si>
  <si>
    <t>88220c7fe94cff6b5a90c20459c70000</t>
  </si>
  <si>
    <t>In recent years, significant improvements in the assessment methodologies have been made in an effort mostly co-ordinated by the UNEP/ SETAC initiative (de Haes, 2002, UNEP, 2003, Jolliet et al., The EU Joint Research Centre has also made an important input in the determination of effective practice in impact assessment, which has resulted in the adoption of 14 default impact categories for the EU footprinting initiative (Product Environmental Footprint (PEF)/ Organisational Environmental Footprint (OEF), European Commission, 2013a, European Commission, 2013b).</t>
  </si>
  <si>
    <t>f17f196c4431d28aeac6205c78ddb847</t>
  </si>
  <si>
    <t>The statement was welcomed by the Advisory Group. During the intersessional period, discussion continued on whether sustainability reporting and core indicators should be used at a corporate consolidated level or at a legal entity level. Given that the impact of companies is realized at the local level, some experts argue that data should be provided by a legal entity of a home country. However, it is also important to consider that group-level consolidated sustainability reporting is critical as a means to align corporate behaviour and business models with the 2030 Agenda. Consolidated reporting is also a basis for financial decision-making by investors.</t>
  </si>
  <si>
    <t>483a4125e7fab32d4fcb2b5d1ffa00d2</t>
  </si>
  <si>
    <t>The recommendations on waste and materials management are summarised in a box at the end of the chapter. More recently, building on its well-established track record in waste management, the government has been laying the groundwork to stimulate the transition towards a circular economy. This is defined as "an economic system that is predicated on the reusability of products and raw materials and the conservation of natural resources and that pursues the creation of value in each link in the system” (Ministry of Infrastructure and Environment, 2014a).</t>
  </si>
  <si>
    <t>cd39a832a230705ef131f4d8b858f65f</t>
  </si>
  <si>
    <t>Once among the least developed Western economies, with high levels of emigration, since 2003 Ireland has enjoyed the third highest per capita GDP in OECD Europe (Figure 6.1).1 The growing economy attracted an inflow of foreign workers, the unemployment rate was 4.7% in 2007, below the OECD average. In the first half of the 2000s, large public sector deficits were transformed into substantial surpluses and the ratio of national debt to GNP was greatly reduced, while the tax-to-GDP ratio remained low (31.9% of GDP in 2006, compared with an OECD Europe average of 38%). The combination of a low corporate tax (12.5%), state grants and access to the European single market boosted foreign direct investment.</t>
  </si>
  <si>
    <t>3083f5dee9e6201a9043b765d1c7c644</t>
  </si>
  <si>
    <t>Dr Edward W Manning and T David Dougherty, 2000. The study (Lot 1 Research Capacity) was conducted by PA Government Services under the Caribbean Regional Sustainable Tourism Development Programme (CRSTDP), funded by the 8th European Development Fund (EDF), August 2006. See Reil G Cruz, 2006, 47pp. Also World Bank, Caribbean Country Management Unit, 2005.</t>
  </si>
  <si>
    <t>55eb56bec1db9ca76b6d2aa3c09712e2</t>
  </si>
  <si>
    <t>The World Bank estimates that out of the 500 largest cities in the developing countries, only 4% are deemed credit worthy in international capital markets and 20% on the local markets. Of the available funding over the last 10 years, two-thirds has gone to just 10 middle-income countries. Making the necessary investment finance available to those who need it most, in the low-income countries, is an urgent priority and a particular challenge.</t>
  </si>
  <si>
    <t>f25d81a6f6dd57b990eb23725cf894a1</t>
  </si>
  <si>
    <t>Today, the dominant research on the effect of the educational systems and approaches related to sustainable development clearly favours impact on the individuals (as opposed to organisations and communities) and formal education (as opposed to non-formal and informal learning). In the modern world characterised by accelerated changes, lack of predictability and multiple economic, financial and environmental crises, different forms of knowledge and learning become a necessity. Even sectors that for a long time adhered to traditional ways of doing things, find themselves in need to adapt to the constant demand for (at least partial) transformation.</t>
  </si>
  <si>
    <t>4da053336ea3efd2695efd580c54584b</t>
  </si>
  <si>
    <t>It contributes 8.4 per cent to global employment (238 million jobs)1 and is projected to grow at an average of 4 per cent over the next decade. Rising per capita incomes and the operation of competitive low-cost airlines have also contributed to this increase. China is particularly significant as it alone is expected to contribute 100 million travellers.4 All indications are that in spite of a downturn in the global economy beginning in 2008 due to the global financial crisis, the travel and tourism industry is robust enough to withstand these pressures over the next decade. Depending upon the sophistication of the industry in terms of the solidity of its linkages and supply chains, some destinations are likely to recover more quickly than others.</t>
  </si>
  <si>
    <t>ce542ae33bf4f70a34b8641eaac2e4d0</t>
  </si>
  <si>
    <t>Previous studies, of wildlife crime, have revealed some variation of sentencing across the country, in different aimags, but, generally speaking, limits on data availability prevent a thorough comparison. For example, a mining licence can be revoked for failure to adopt an EMP, comply with such a plan or submit compliance reports. The former data set provides information on the location, date of detection, type of crime or infringement, classification of the offence and status of the procedure (e.g. whether transferred to the prosecutor’s office with a recommendation to prosecute). The latter data set provides information on damage and on items seized. Information is not available on the outcome of prosecution, including sentencing. Figure 2.5 shows the evolution of criminal law violations over the period 2011-2016 with the data appearing to be incomplete in the period 2009-2010.</t>
  </si>
  <si>
    <t>62694a749fb81e3268ea0ffba0de1e95</t>
  </si>
  <si>
    <t>The ways in which the tourists value different aspects of the surroundings are also influenced by experiences made during the visit. To the extent that information, interpretation and education do not have a sufficient influence on peoples' actual behaviour, co-creation initiatives are proposed as a more efficient way of transferring responsibility to visitors (Campos, Mendes, Valle, and Scott, 2015, Prebensen, Vitterso, and Dahl, 2013). Co-creation implies that the tourists participate in the design, production and consumption of an experience, even collaborating in the creation of new products and services (Binkhorst and Dekker, 2009).</t>
  </si>
  <si>
    <t>ca472909daa94e1ce61c174548d7198d</t>
  </si>
  <si>
    <t>Jamaica has a small but active group of ENGOs that are advocates for the green economy. Some of their voices have acquired national recognition and respect, and can no longer be ignored by policy-makers. Since the Earth Summit in 1992, there have been several civil society organisations12 that have kept the pressure on the Government of Jamaica to honour its commitments to sustainable development in general, and to the various multilateral environmental agreements.</t>
  </si>
  <si>
    <t>2b1b85e4586716ccac4cfbab9226cc65</t>
  </si>
  <si>
    <t>Both sugar and bananas have lost preferential access to their traditional European Union (EU) markets in the age of liberalisation of the global economy. In addition, with the frequency of hurricane damage increasing in recent years, it was decided to abandon the exports of bananas completely. The bauxite/ alumina industry all but shut down in 2008, when international demand plummeted in the global crisis that was precipitated by the financial crisis of that year. The current owners of the mines and processing facilities have demanded access to cheaper energy as the price for restarting the industry. This is one of the major drivers for the urgent transformation of the energy supply that has become a high priority for the Jamaican government. Forests were cleared, and the habitats they supported were destroyed, to establish the sugar industry in the seventeenth to the nineteenth centuries.</t>
  </si>
  <si>
    <t>5e9b3bcf4aac69ed3ef73cbca12ee72b</t>
  </si>
  <si>
    <t>For each of these topics different indicators have been developed and the indicator protocols include definitions and the way the data need to be compiled, as well as further references. To measure for example the CO2 emissions the indicator protocol refers to Green House Gas measurement protocol of the WBCSD/World Resource Institute. The information that is reported in a sustainability report according to the GRI guidelines does not only include quantitative indicators but also provides information on the strategy, the organizational profile, the governance processes, the stakeholder engagement processes and the management approach. This information is relevant to obtain the context in which the data are provided. Each organization has a different ambition level and specific sustainability issues and therefore reporting is different for different organizations. The topics and indicators to report on are based on a materiality analysis that the company performs.</t>
  </si>
  <si>
    <t>2247ea809c4b3069265b106b3819af19</t>
  </si>
  <si>
    <t>However, both face a number of challenges in implementation including the establishment 0/effective targets. The purpose of this chapter is to explore the opportunities, challenges and important considerations faced by policy makers when setting and implementing SMM-related targets. Finland attributes waste management improvements to changes in EU legislation, specifically stricter waste management standards and requirements.</t>
  </si>
  <si>
    <t>8bfce44dab94a2b5fedbbd3adae56749</t>
  </si>
  <si>
    <t>This refers to the manufacture, use and disposal of lifestyle goods such as electronics and clothing. Key sectors of high impact include food, housing and transport. In these sectors, wafer, energy and waste can be considered as crosscutting sectors affecting and affected by almost every lifestyle domain.</t>
  </si>
  <si>
    <t>642f69433572aed4342a2026f0513b5b</t>
  </si>
  <si>
    <t>If an EIA is carried out, but improperly and leading to environmental damage, the licensed EIA entity must pay compensation. There is also a mismatch between the economic value for animals, their conservation status and their market value (chapter 3). The 2012 Law on Hunting, for example, foresees a reward of 15 per cent of fines imposed to be given to the citizen identifying the person responsible for the violation.</t>
  </si>
  <si>
    <t>8928aa79bf65a8ea8b41802634887e4c</t>
  </si>
  <si>
    <t>There are estimated to be 500 international treaties and agreements on the environment (155 biodiversity-related, 179 chemicals-related, 46 land-related, and 196 water-related) and a proliferation of subsidiary bodies for the different conventions and administrative arrangements. Additionally, important are leveraging synergies in responsibilities of conventions across various sectoral policies, with the promotion of joint implementation and coordination of funding sources and programmes, as well as multi-stakeholder outreach and engagement to ensure buy-in.5 Capacity building is required given the increasingly complex scientific and technical issues involved. Meanwhile, critical actions may not be taken with fallout for human and environmental health.</t>
  </si>
  <si>
    <t>549df2a4d76c942d8369308429752184</t>
  </si>
  <si>
    <t>This term, however, is often used as a synonym for material productivity. Productivity measurement and analysis of natural resource and material flows complement the traditional indicators of capital, land and labour productivity. Used in parallel, these three types of productivity indicators afford a much deeper understanding of total factor productivity.</t>
  </si>
  <si>
    <t>c8dbfdb5972aba5f9f4da67a683fee62</t>
  </si>
  <si>
    <t>The framework also functions as a bridging mechanism between the narrowly construed MEAs pertaining to chemicals and waste, which include the Stockholm, Rotterdam, Basel, and Minamata Conventions. The Dubai Declaration, which expresses high-level political support forthe framework. The Overarching Policy Strategy (OPS), which contains the five key thematic objectives of SAICM: (1) risk reduction, (2) knowledge and information, (3) governance, (4) capacity-building and technical cooperation, and (5) illegal international traffic in chemicals. The OPS also lays down the scope, needs, underlying principles, and approaches of SAICM and elaborates on implementation and progress review mechanisms. The Global Plan of Action, which is an evolving and practical toolkit for implementation that currently lists more than 270 activities that can be undertaken by diverse stakeholders to operationalize SAICM.</t>
  </si>
  <si>
    <t>fe00789e13ec56b1624f016c682abea0</t>
  </si>
  <si>
    <t>Such information is provided in the form of quantitative and qualitative data as part of a company’s reporting process. Key performance indicators comprise the quantitative data, an example of qualitative data can be found in the description of a company’s sustainability strategies and reporting policies. Examples include the portal of the Government of France (info-financiere.</t>
  </si>
  <si>
    <t>d46652f3f1c84a1b471f30c8d0087137</t>
  </si>
  <si>
    <t>Many governments are recognizing this, and some have reformed their subsidies or are in the process of phasing them out. In 2015 and 2016, with low oil prices, around 50 countries increased or removed government controls on prices of fossil fuels, directly or partially removing subsidies. In 2013 Finland scrutinized 400 subsidy measures according to their environmental and social impacts and costs.</t>
  </si>
  <si>
    <t>1f90c5a8981fc4c095f70aea892ff94e</t>
  </si>
  <si>
    <t>Based on 2011 data, generation is above average in the Capital area at 460 kg/cap/y, and in the coastal region influenced by tourism at 480 kg/cap/y, although excluding the impact of tourists the average is 420 kg/cap/y. The remaining inland region shows under-average waste generation, at only 223 kg/cap/y. The reason for such a high variation in per capita waste generation at county level could be because the impact of the non-permanent tourist population is not considered in the calculation of this indicator.</t>
  </si>
  <si>
    <t>f3e26c31fc440748f4dacd18dbecbc65</t>
  </si>
  <si>
    <t>They were first identified and defined by the ESCAP Sustainable Business Network (ESBN) Task Force on Banking and Finance.55 These principles are constituent components of the SRB model (Figure 6). They establish strong ethical guidelines so that business practices meet globally accepted standards for the valuing and pricing of products, sen/ices and assets, engaging with stakeholders, and assessing and managing risks. Each principle is defined, and its role in the SRB Model for a Sustainable Future explained.</t>
  </si>
  <si>
    <t>0b4a31dd0bc5b9cb6a3da2b48eb54401</t>
  </si>
  <si>
    <t>As a result, poverty is endemic, generously underestimated at 20 per cent of the population in 2011, with the majority of poor households located in rural communities. It is well known that poor communities generate negative pressure on the environment from ‘slash-and-burn’ agricultural activities, improper waste disposal for want of facilities, and settlement on fragile lands that are vulnerable to natural hazards. In the case of Jamaica, there are the additional challenges of servicing the mounting national debt, which in 2013 stood at over 140 per cent of GDP, and ensuring macroeconomic stability so as to provide a basis for economic growth.</t>
  </si>
  <si>
    <t>97c185a074f856c7e9768753e9b7046d</t>
  </si>
  <si>
    <t>Food losses are highest in North America and Oceania, reaching close to 300 kg per person. The focus would need to be on addressing the financial, managerial and technical limitations in harvesting techniques, as well as ensuring adequate storage and cooling facilities in often challenging climatic conditions. Quantifying postharvest losses in Sub-Saharan Africa with a focus on cereals and pulses Presentation at the Bellagio Workshop on Postharvest Management, 12-14 September 2017. International Food Policy Research Institute (IFPRI) has developed a methodology to improve the measurement of food losses across the value chain, as well as to factor in deterioration in quality that result in economic losses.</t>
  </si>
  <si>
    <t>Can be false. The passage states facts on challenges of sustainable tourism but does not directly addressing the goal.</t>
  </si>
  <si>
    <t>Fact stating about tourism</t>
  </si>
  <si>
    <t>Information about the situation</t>
  </si>
  <si>
    <t>TO DO</t>
  </si>
  <si>
    <t>Could be false. I assumed that the sustainability information and indicators cover SDG 12 indicators.</t>
  </si>
  <si>
    <t xml:space="preserve">Could be SDG 12 if we were to consider mobile phone owning as "consumption". But this passage just states facts and is most likely not about reclycling mobile phone. </t>
  </si>
  <si>
    <t>Could be SDG 12, but it is unclear what companies report about.</t>
  </si>
  <si>
    <t>Could be SDG 12 because oil is natural resource. But it is very, very vague and should be considered as the SDG on energy instead if we were to avoid double counting.</t>
  </si>
  <si>
    <t>not specific enough to be considered consumption and production</t>
  </si>
  <si>
    <t>Unclear about what the policies are about.</t>
  </si>
  <si>
    <t>Environment is another SDG</t>
  </si>
  <si>
    <t>priority</t>
  </si>
  <si>
    <r>
      <rPr>
        <rFont val="Calibri"/>
        <color theme="1"/>
      </rPr>
      <t xml:space="preserve">There are several forms of capacity building where governments and the private sector can contribute: technical assistance, </t>
    </r>
    <r>
      <rPr>
        <rFont val="Calibri"/>
        <b/>
        <color theme="1"/>
      </rPr>
      <t>research for responsible business practices</t>
    </r>
    <r>
      <rPr>
        <rFont val="Calibri"/>
        <color theme="1"/>
      </rPr>
      <t>, development of training manuals and guidebooks, development of regional support hubs and the strengthening of the Global Compact local networks. They can also encourage and facilitate communications among key stakeholders for developing and implementing SRB initiatives. A strong dialogue about SRB must be encouraged amongst stakeholders, such as governments, corporations, financial institutions, NGOs and CSOs, for their capacity building.</t>
    </r>
  </si>
  <si>
    <t xml:space="preserve">on waste reduction </t>
  </si>
  <si>
    <t>12.b is specifically on developing and implementing monitoring tools</t>
  </si>
  <si>
    <t>again not on monitoring</t>
  </si>
  <si>
    <t>12.1 maybe? though more on sustainability strategies in general and not on SCP specifically</t>
  </si>
  <si>
    <t>csr reporting</t>
  </si>
  <si>
    <t xml:space="preserve">links to sustainable resource management </t>
  </si>
  <si>
    <t>sustainable public procurement</t>
  </si>
  <si>
    <t>resource use efficiency</t>
  </si>
  <si>
    <t>irrc = integrated resource recovery centre</t>
  </si>
  <si>
    <t>just data reporting</t>
  </si>
  <si>
    <t>not on monitoring tools for tourism</t>
  </si>
  <si>
    <t>data reporting only</t>
  </si>
  <si>
    <t>on data only</t>
  </si>
  <si>
    <t>though vaguely linked to natural resource management (but without any notion of sustainable use)</t>
  </si>
  <si>
    <t>somehow on awareness and sustainable lifestyles but not so clear</t>
  </si>
  <si>
    <t>on green public procuremnt</t>
  </si>
  <si>
    <t>no monitoring tools</t>
  </si>
  <si>
    <t>SAICM strategic approach on integrated chemical management</t>
  </si>
  <si>
    <t>not fully convinced though</t>
  </si>
  <si>
    <t>not clear what project is about</t>
  </si>
  <si>
    <t>not clear what licenses</t>
  </si>
  <si>
    <t xml:space="preserve">good corporate governance does not necessarily mean ESG or CSR </t>
  </si>
  <si>
    <t>on resource use, though unsustainable and no notion of trying to improve it</t>
  </si>
  <si>
    <t>though no direct notion to improve chemicals or waste management</t>
  </si>
  <si>
    <t>wildlife crimes</t>
  </si>
  <si>
    <t>mentions environmental health only marginally and not really a clear link to SCP</t>
  </si>
  <si>
    <t>doi</t>
  </si>
  <si>
    <t>text_id</t>
  </si>
  <si>
    <t>text</t>
  </si>
  <si>
    <t>sdg</t>
  </si>
  <si>
    <t>labels_negative</t>
  </si>
  <si>
    <t>labels_positive</t>
  </si>
  <si>
    <t>labels_total</t>
  </si>
  <si>
    <t>agreement</t>
  </si>
  <si>
    <t>label</t>
  </si>
  <si>
    <t>difficulty</t>
  </si>
  <si>
    <t>selection reason</t>
  </si>
  <si>
    <t>10.18356/ad0bffd4-en</t>
  </si>
  <si>
    <t>very easy</t>
  </si>
  <si>
    <t>target 12.4</t>
  </si>
  <si>
    <t>10.18356/974c3e9b-en</t>
  </si>
  <si>
    <t>target 12.a</t>
  </si>
  <si>
    <t>10.14217/9781848599178-8-en</t>
  </si>
  <si>
    <t>medium</t>
  </si>
  <si>
    <t>automated selection</t>
  </si>
  <si>
    <t>10.18356/f29e3817-en</t>
  </si>
  <si>
    <t>target 12.8</t>
  </si>
  <si>
    <t>10.18356/6236c858-en</t>
  </si>
  <si>
    <t>10.1787/5kmh3njpt6r0-en</t>
  </si>
  <si>
    <t>10.18356/524212d8-en</t>
  </si>
  <si>
    <t>10.14217/9781848599178-7-en</t>
  </si>
  <si>
    <t>easy</t>
  </si>
  <si>
    <t>hard</t>
  </si>
  <si>
    <t>10.6027/bbc022bf-en</t>
  </si>
  <si>
    <t>target 12.1</t>
  </si>
  <si>
    <t>10.18356/a0e5fdd9-en</t>
  </si>
  <si>
    <t>10.1787/9789264203419-60-en</t>
  </si>
  <si>
    <t>10.1787/9789264208292-9-en</t>
  </si>
  <si>
    <t>target 12.5</t>
  </si>
  <si>
    <t>10.1787/9789264174269-5-en</t>
  </si>
  <si>
    <t>target 12.7</t>
  </si>
  <si>
    <t>10.18356/68f16c91-en</t>
  </si>
  <si>
    <t>10.6027/9789289350167-8-en</t>
  </si>
  <si>
    <t>target 12.c</t>
  </si>
  <si>
    <t>10.1787/31bb2345-en</t>
  </si>
  <si>
    <t>10.1787/9789264077225-6-en</t>
  </si>
  <si>
    <t>10.18356/ee52a573-en</t>
  </si>
  <si>
    <t>10.6027/65fe12b0-en</t>
  </si>
  <si>
    <t>10.1787/5kggc0rpw55l-en</t>
  </si>
  <si>
    <t>10.6027/9789289348393-7-en</t>
  </si>
  <si>
    <t>10.1787/9789264240056-12-en</t>
  </si>
  <si>
    <t>target 12.2</t>
  </si>
  <si>
    <t>10.1787/5k483jn5j1lv-en</t>
  </si>
  <si>
    <t>10.6027/9789289329422-8-en</t>
  </si>
  <si>
    <t>target 12.3</t>
  </si>
  <si>
    <t>10.18356/29c3b7bb-en</t>
  </si>
  <si>
    <t>10.6027/7d17bba9-en</t>
  </si>
  <si>
    <t>10.1787/9789264223202-7-en</t>
  </si>
  <si>
    <t>10.18356/cabe9310-en</t>
  </si>
  <si>
    <t>very hard</t>
  </si>
  <si>
    <t>10.6027/547ad041-en</t>
  </si>
  <si>
    <t>target 12.b</t>
  </si>
  <si>
    <t>10.1787/9789264239616-4-en</t>
  </si>
  <si>
    <t>10.18356/5e60d4be-en</t>
  </si>
  <si>
    <t>10.1787/9789264257344-en</t>
  </si>
  <si>
    <t>10.1787/9789264044135-3-en</t>
  </si>
  <si>
    <t>10.18356/9f2309f8-en</t>
  </si>
  <si>
    <t>10.18356/62062f00-en</t>
  </si>
  <si>
    <t>10.6027/9789289347235-7-en</t>
  </si>
  <si>
    <t>10.18356/4796ea8c-en</t>
  </si>
  <si>
    <t>10.18356/f76cbb14-en</t>
  </si>
  <si>
    <t>10.14217/9781848590854-10-en</t>
  </si>
  <si>
    <t>10.1787/9789264079502-6-en</t>
  </si>
  <si>
    <t>target 12.6</t>
  </si>
  <si>
    <t>10.18356/abf3f08e-en</t>
  </si>
  <si>
    <t>10.18356/86ec538f-en</t>
  </si>
  <si>
    <t>10.6027/9789289329941-4-en</t>
  </si>
  <si>
    <t>10.18356/709f1e18-en</t>
  </si>
  <si>
    <t>10.1787/9789264208292-10-en</t>
  </si>
  <si>
    <t>10.18356/4413a3e2-en</t>
  </si>
  <si>
    <t>10.18356/16f920fe-en</t>
  </si>
  <si>
    <t>10.6027/9789289348393-5-en</t>
  </si>
  <si>
    <t>10.18356/d004d8b3-en</t>
  </si>
  <si>
    <t>10.18356/312bd0fb-en</t>
  </si>
  <si>
    <t>11.1002/pub/807b3f08-48bc40b1-en</t>
  </si>
  <si>
    <t>10.18356/6f0d13fe-en</t>
  </si>
  <si>
    <t>10.18356/9d0ee44f-en</t>
  </si>
  <si>
    <t>10.18356/b7061c2b-en</t>
  </si>
  <si>
    <t>10.1787/9789264174269-6-en</t>
  </si>
  <si>
    <t>10.6027/9789289346597-10-en</t>
  </si>
  <si>
    <t>10.18356/2d7f6a2a-en</t>
  </si>
  <si>
    <t>Group</t>
  </si>
  <si>
    <t>Alignment</t>
  </si>
  <si>
    <t>Comments</t>
  </si>
  <si>
    <t>Consensus</t>
  </si>
  <si>
    <t>Labelers</t>
  </si>
  <si>
    <t>Rationale</t>
  </si>
  <si>
    <t>Notes</t>
  </si>
  <si>
    <t/>
  </si>
  <si>
    <t>- Gib: Could be SDG 12 because oil is natural resource. But it is very, very vague and should be considered as the SDG on energy instead if we were to avoid double counting.</t>
  </si>
  <si>
    <t>- Steve: 12.b is specifically on developing and implementing monitoring tools</t>
  </si>
  <si>
    <t>- Gib: Environment is another SDG</t>
  </si>
  <si>
    <t xml:space="preserve">- Steve: on waste reduction </t>
  </si>
  <si>
    <t>- Finn: EPR = Extended Producer Responsibility</t>
  </si>
  <si>
    <t>- Steve: irrc = integrated resource recovery centre</t>
  </si>
  <si>
    <t>2v1</t>
  </si>
  <si>
    <t xml:space="preserve">- Steve: links to sustainable resource management </t>
  </si>
  <si>
    <t>maybe yes: the last sentence implies unsustainable consumption and production. To discuss next time where to draw the boundaries for what is too implicit and what is still OK.</t>
  </si>
  <si>
    <t>- Gib: Fact stating about tourism</t>
  </si>
  <si>
    <t>- Finn: public procurement
- Steve: on green public procuremnt</t>
  </si>
  <si>
    <t>- Gib: Could be false. I assumed that the sustainability information and indicators cover SDG 12 indicators.</t>
  </si>
  <si>
    <t>- Steve: on data only</t>
  </si>
  <si>
    <t>2v2</t>
  </si>
  <si>
    <t>- Steve: resource use efficiency</t>
  </si>
  <si>
    <t>- Steve: on resource use, though unsustainable and no notion of trying to improve it</t>
  </si>
  <si>
    <t>- Gib: not specific enough to be considered consumption and production
- Steve: 12.1 maybe? though more on sustainability strategies in general and not on SCP specifically</t>
  </si>
  <si>
    <t>typo</t>
  </si>
  <si>
    <t>3v1</t>
  </si>
  <si>
    <t>- Steve: no monitoring tools</t>
  </si>
  <si>
    <t>too indirect/vague about resource management</t>
  </si>
  <si>
    <t>- Gib: Unclear about what the policies are about.</t>
  </si>
  <si>
    <t>corporate accounting on environmental and social impacts</t>
  </si>
  <si>
    <t>- Steve: not fully convinced though</t>
  </si>
  <si>
    <t>chemical-related environmental treaties</t>
  </si>
  <si>
    <t>- Steve: though vaguely linked to natural resource management (but without any notion of sustainable use)</t>
  </si>
  <si>
    <t>- Finn: sustainable consumption in the tourism sector</t>
  </si>
  <si>
    <t>- Finn: SAICM = Strategic Approach to International Chemicals Management
- Steve: SAICM strategic approach on integrated chemical management</t>
  </si>
  <si>
    <t>- Finn: corporate sustainability reporting
- Steve: csr reporting</t>
  </si>
  <si>
    <t>- Finn: link to global compact</t>
  </si>
  <si>
    <t>- Steve: not clear what licenses</t>
  </si>
  <si>
    <t>- Steve: data reporting only</t>
  </si>
  <si>
    <t>- Steve: not clear what project is about</t>
  </si>
  <si>
    <t>chemical safety according to international rules</t>
  </si>
  <si>
    <t>- Steve: mentions environmental health only marginally and not really a clear link to SCP</t>
  </si>
  <si>
    <t>- Steve: wildlife crimes</t>
  </si>
  <si>
    <t>- Gib: Could be SDG 12, but it is unclear what companies report about.</t>
  </si>
  <si>
    <t>- Steve: though no direct notion to improve chemicals or waste management</t>
  </si>
  <si>
    <t xml:space="preserve">- Steve: good corporate governance does not necessarily mean ESG or CSR </t>
  </si>
  <si>
    <t>- Steve: just data reporting</t>
  </si>
  <si>
    <t>- Finn: SPP = Sustainable Public Procurement
- Steve: sustainable public procurement</t>
  </si>
  <si>
    <t>- Gib: Can be false. The passage states facts on challenges of sustainable tourism but does not directly addressing the goal.
- Steve: again not on monitoring</t>
  </si>
  <si>
    <t>- Steve: again not on monitoring</t>
  </si>
  <si>
    <t>- Steve: not on monitoring tools for tourism</t>
  </si>
  <si>
    <t>- Steve: somehow on awareness and sustainable lifestyles but not so clear</t>
  </si>
  <si>
    <t>- Gib: Information about the situation</t>
  </si>
  <si>
    <t>chemical pollution of soil and water</t>
  </si>
  <si>
    <t xml:space="preserve">- Gib: Could be SDG 12 if we were to consider mobile phone owning as "consumption". But this passage just states facts and is most likely not about reclycling mobile phone. </t>
  </si>
  <si>
    <t>id</t>
  </si>
  <si>
    <t>osdg_text_id</t>
  </si>
  <si>
    <t>comment</t>
  </si>
  <si>
    <t>Its mandate is two-fold: to promote energy security amongst its member countries through collective response to physical disruptions in oil supply and to advise member countries on sound energy policy. This paper reflects the views of the IEA Secretariat and may not necessarily reflect the views of the individual IEA member countries. The study also draws on contributions of Franziska Mueller-Langer, Jens Giersdorf and Anastasios Perimenis of the German Biomass Research Centre (DBFZ), who provided parts of the sustainability chapter and four country profiles commissioned by the Deutsche Gesellschaft für Technische Zusammenarbeit (GTZ).</t>
  </si>
  <si>
    <t>fix typo</t>
  </si>
  <si>
    <t>Against a backdrop of social issues, natural resource limits and waste problems, the question of how people live and consume - the lifestyles they pursue - becomes central to sustainability. The continuing increase in population in Asia, Africa and Latin America needs to sustain itself, in a fast growing economic environment, the level of material consumption per person also increases. For example, according to the African Development Bank (AtDB 2011), there was a growth rate of 3.1% in the middle-class (defined as those consuming between 2-20 USD per day) in Africa, rising from 126 million people (27%) in 1980 to 350 million (34%) in 2010.</t>
  </si>
  <si>
    <t>fix capitalization</t>
  </si>
  <si>
    <t>During the latter two decades, protected areas have gradually become more closely connected to their economic and social environments, with an emphasis to integrate national parks to wider regional and local development processes (see e.g. Puhakka and Saarinen (2013). In peripheries, closer connections between the tourism industry and national parks are used as tools. While the original biocentric conservation policy used to be characterized by top-down governance, stakeholders of the local communities and the tourism industry are today increasingly involved in adaptive management strategies. During the last three decades, international tourist arrivals to Iceland have generally increased, including by 25% over the past six years. The number of international visitors to Iceland was approximately 2.3 million in 2017, which is almost seven times more than the entire Icelandic population. Tourism is now one of the main pillars of the economy and represents the country's largest export sector.</t>
  </si>
  <si>
    <t>fix typos</t>
  </si>
  <si>
    <t>To do this, Section 1.1 looks at the reasons why fossil-fuel subsidies are generally considered to be harmful for the economy and the environment. Section 1.2 then shows how this helps explain the recent emergence of a consensus for reforming fossil-fuel subsidies, and how this growing consensus has led to a number of policy initiatives internationally and domestically. Section 1.3 then concludes by placing the OECD Inventory onto that broader stage, emphasising the important role it plays in ongoing discussions of energy policies and their reform. The use of such data by the OECD is without prejudice to the status of the Golan Heights, East Jerusalem and Israeli settlements in the West Bank under the terms of international law.</t>
  </si>
  <si>
    <t>A delicate balance has to be maintained and this is where voluntary initiatives such as the Global Sustainable Tourism Council (GTSC) certification scheme play a critical role: there is no confrontation since the industry has voluntarily agreed to follow norms which will not only meet but frequently exceed the requirements of the law. The recommendations are based on a list of 12 principles for sustainable tourism development. Typically the Sustainable Tourism Criteria established by the Global Sustainable Tourism Council extend to measurable indicators and an appraisal and certification scheme which is rapidly gaining acceptance by the accommodation sector. Laws pertaining to land use, access, waste disposal, pollution control, minimum wages and the like exist in almost all countries: occasionally, these are relaxed for the tourism industry in some developing countries in an effort to attract foreign tourists and investments in the industry.</t>
  </si>
  <si>
    <t>fix many typos</t>
  </si>
  <si>
    <t>The framework also functions as a bridging mechanism between the narrowly construed MEAs pertaining to chemicals and waste, which include the Stockholm, Rotterdam, Basel, and Minamata Conventions. The Dubai Declaration, which expresses high-level political support for the framework. The Overarching Policy Strategy (OPS), which contains the five key thematic objectives of SAICM: (1) risk reduction, (2) knowledge and information, (3) governance, (4) capacity-building and technical cooperation, and (5) illegal international traffic in chemicals. The OPS also lays down the scope, needs, underlying principles, and approaches of SAICM and elaborates on implementation and progress review mechanisms. The Global Plan of Action, which is an evolving and practical toolkit for implementation that currently lists more than 270 activities that can be undertaken by diverse stakeholders to operationalize SAICM.</t>
  </si>
  <si>
    <t>Between 2000 and 2008, Japan’s economy grew by about 1.3% annually, a rate below the OECD average (about 2% per year). As a result of the global economic slowdown of 2008, the Japanese economy contracted sharply, and was dragged into the deepest recession since the Second World War (Section 2). Similarly, the OECD Europe aggregate does not include Estonia and Slovenia. In 2009, Japan’s GDP per capita in purchasing power parity was USD 29 800 and the OECD average was USD 30 500.</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</si>
</sst>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sz val="17.0"/>
      <color rgb="FF000000"/>
      <name val="&quot;Arial&quot;"/>
    </font>
    <font>
      <sz val="14.0"/>
      <color theme="1"/>
      <name val="Arial"/>
      <scheme val="minor"/>
    </font>
    <font>
      <color rgb="FF000000"/>
      <name val="&quot;Arial&quot;"/>
    </font>
    <font>
      <color rgb="FF000000"/>
      <name val="Arial"/>
      <scheme val="minor"/>
    </font>
    <font>
      <color theme="1"/>
      <name val="Arial"/>
      <scheme val="minor"/>
    </font>
    <font>
      <b/>
      <u/>
      <sz val="14.0"/>
      <color rgb="FF000000"/>
      <name val="Oswald"/>
    </font>
    <font>
      <u/>
      <color theme="1"/>
      <name val="Arial"/>
      <scheme val="minor"/>
    </font>
    <font>
      <i/>
      <color theme="1"/>
      <name val="Arial"/>
      <scheme val="minor"/>
    </font>
    <font>
      <color theme="1"/>
      <name val="Arial"/>
    </font>
    <font>
      <b/>
      <color rgb="FF000000"/>
      <name val="&quot;Arial&quot;"/>
    </font>
    <font>
      <b/>
      <color rgb="FFFFFFFF"/>
      <name val="Arial"/>
    </font>
    <font>
      <b/>
      <color theme="1"/>
      <name val="Arial"/>
    </font>
    <font>
      <u/>
      <color rgb="FF0000FF"/>
    </font>
    <font>
      <b/>
      <color theme="1"/>
      <name val="Arial"/>
      <scheme val="minor"/>
    </font>
    <font>
      <sz val="13.0"/>
      <color theme="1"/>
      <name val="Arial"/>
      <scheme val="minor"/>
    </font>
    <font>
      <b/>
      <u/>
      <color theme="1"/>
      <name val="Arial"/>
      <scheme val="minor"/>
    </font>
    <font>
      <b/>
      <color theme="1"/>
      <name val="Calibri"/>
    </font>
    <font>
      <b/>
      <sz val="10.0"/>
      <color theme="1"/>
      <name val="Arial"/>
      <scheme val="minor"/>
    </font>
    <font>
      <color theme="1"/>
      <name val="Calibri"/>
    </font>
    <font>
      <sz val="11.0"/>
      <color theme="1"/>
      <name val="Arial"/>
      <scheme val="minor"/>
    </font>
    <font>
      <b/>
      <sz val="10.0"/>
      <color theme="1"/>
      <name val="Arial"/>
    </font>
    <font>
      <sz val="10.0"/>
      <color theme="1"/>
      <name val="Arial"/>
      <scheme val="minor"/>
    </font>
    <font>
      <sz val="9.0"/>
      <color theme="1"/>
      <name val="Arial"/>
      <scheme val="minor"/>
    </font>
  </fonts>
  <fills count="5">
    <fill>
      <patternFill patternType="none"/>
    </fill>
    <fill>
      <patternFill patternType="lightGray"/>
    </fill>
    <fill>
      <patternFill patternType="solid">
        <fgColor rgb="FFBF8B2E"/>
        <bgColor rgb="FFBF8B2E"/>
      </patternFill>
    </fill>
    <fill>
      <patternFill patternType="solid">
        <fgColor rgb="FFD9EAD3"/>
        <bgColor rgb="FFD9EAD3"/>
      </patternFill>
    </fill>
    <fill>
      <patternFill patternType="solid">
        <fgColor rgb="FFF4CCCC"/>
        <bgColor rgb="FFF4CCCC"/>
      </patternFill>
    </fill>
  </fills>
  <borders count="5">
    <border/>
    <border>
      <right style="thin">
        <color rgb="FF999999"/>
      </right>
    </border>
    <border>
      <right style="thin">
        <color rgb="FF999999"/>
      </right>
      <top style="thin">
        <color rgb="FF999999"/>
      </top>
      <bottom style="thin">
        <color rgb="FF999999"/>
      </bottom>
    </border>
    <border>
      <right style="thin">
        <color rgb="FF999999"/>
      </right>
      <bottom style="thin">
        <color rgb="FF999999"/>
      </bottom>
    </border>
    <border>
      <left style="thick">
        <color rgb="FF000000"/>
      </left>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5" numFmtId="0" xfId="0" applyAlignment="1" applyFont="1">
      <alignment horizontal="center" readingOrder="0"/>
    </xf>
    <xf borderId="0" fillId="0" fontId="5" numFmtId="0" xfId="0" applyAlignment="1" applyFont="1">
      <alignment readingOrder="0" shrinkToFit="0" vertical="center" wrapText="1"/>
    </xf>
    <xf borderId="0" fillId="0" fontId="7" numFmtId="0" xfId="0" applyAlignment="1" applyFont="1">
      <alignment readingOrder="0"/>
    </xf>
    <xf borderId="0" fillId="0" fontId="5" numFmtId="0" xfId="0" applyAlignment="1" applyFont="1">
      <alignment readingOrder="0"/>
    </xf>
    <xf borderId="0" fillId="0" fontId="8" numFmtId="0" xfId="0" applyAlignment="1" applyFont="1">
      <alignment readingOrder="0"/>
    </xf>
    <xf borderId="0" fillId="0" fontId="9" numFmtId="0" xfId="0" applyAlignment="1" applyFont="1">
      <alignment vertical="bottom"/>
    </xf>
    <xf borderId="0" fillId="0" fontId="9" numFmtId="0" xfId="0" applyAlignment="1" applyFont="1">
      <alignment shrinkToFit="0" vertical="bottom" wrapText="0"/>
    </xf>
    <xf borderId="0" fillId="0" fontId="9" numFmtId="0" xfId="0" applyFont="1"/>
    <xf borderId="0" fillId="0" fontId="5" numFmtId="0" xfId="0" applyAlignment="1" applyFont="1">
      <alignment readingOrder="0" shrinkToFit="0" wrapText="1"/>
    </xf>
    <xf borderId="0" fillId="0" fontId="10" numFmtId="0" xfId="0" applyAlignment="1" applyFont="1">
      <alignment readingOrder="0"/>
    </xf>
    <xf borderId="1" fillId="0" fontId="9" numFmtId="0" xfId="0" applyAlignment="1" applyBorder="1" applyFont="1">
      <alignment vertical="bottom"/>
    </xf>
    <xf borderId="2" fillId="2" fontId="11" numFmtId="0" xfId="0" applyAlignment="1" applyBorder="1" applyFill="1" applyFont="1">
      <alignment horizontal="center" readingOrder="0" vertical="center"/>
    </xf>
    <xf borderId="2" fillId="0" fontId="12" numFmtId="0" xfId="0" applyAlignment="1" applyBorder="1" applyFont="1">
      <alignment readingOrder="0" vertical="bottom"/>
    </xf>
    <xf borderId="3" fillId="2" fontId="11" numFmtId="0" xfId="0" applyAlignment="1" applyBorder="1" applyFont="1">
      <alignment horizontal="center" readingOrder="0" shrinkToFit="0" vertical="center" wrapText="1"/>
    </xf>
    <xf borderId="3" fillId="0" fontId="9" numFmtId="0" xfId="0" applyAlignment="1" applyBorder="1" applyFont="1">
      <alignment readingOrder="0" shrinkToFit="0" vertical="bottom" wrapText="1"/>
    </xf>
    <xf borderId="0" fillId="0" fontId="13" numFmtId="0" xfId="0" applyAlignment="1" applyFont="1">
      <alignment readingOrder="0"/>
    </xf>
    <xf borderId="0" fillId="0" fontId="14" numFmtId="0" xfId="0" applyAlignment="1" applyFont="1">
      <alignment readingOrder="0"/>
    </xf>
    <xf borderId="0" fillId="0" fontId="5" numFmtId="0" xfId="0" applyFont="1"/>
    <xf borderId="0" fillId="0" fontId="0" numFmtId="0" xfId="0" applyAlignment="1" applyFont="1">
      <alignment horizontal="right"/>
    </xf>
    <xf borderId="0" fillId="0" fontId="15" numFmtId="0" xfId="0" applyAlignment="1" applyFont="1">
      <alignment readingOrder="0"/>
    </xf>
    <xf borderId="0" fillId="0" fontId="16" numFmtId="0" xfId="0" applyAlignment="1" applyFont="1">
      <alignment readingOrder="0"/>
    </xf>
    <xf borderId="0" fillId="0" fontId="9" numFmtId="0" xfId="0" applyAlignment="1" applyFont="1">
      <alignment readingOrder="0" shrinkToFit="0" vertical="bottom" wrapText="0"/>
    </xf>
    <xf borderId="0" fillId="0" fontId="17" numFmtId="0" xfId="0" applyAlignment="1" applyFont="1">
      <alignment readingOrder="0" vertical="bottom"/>
    </xf>
    <xf borderId="0" fillId="0" fontId="17" numFmtId="0" xfId="0" applyAlignment="1" applyFont="1">
      <alignment readingOrder="0" shrinkToFit="0" vertical="bottom" wrapText="1"/>
    </xf>
    <xf borderId="0" fillId="0" fontId="18" numFmtId="0" xfId="0" applyAlignment="1" applyFont="1">
      <alignment horizontal="center" readingOrder="0" vertical="bottom"/>
    </xf>
    <xf borderId="0" fillId="0" fontId="19" numFmtId="0" xfId="0" applyAlignment="1" applyFont="1">
      <alignment vertical="bottom"/>
    </xf>
    <xf borderId="0" fillId="0" fontId="19" numFmtId="0" xfId="0" applyAlignment="1" applyFont="1">
      <alignment shrinkToFit="0" vertical="bottom" wrapText="1"/>
    </xf>
    <xf borderId="0" fillId="0" fontId="20" numFmtId="0" xfId="0" applyAlignment="1" applyFont="1">
      <alignment horizontal="center" readingOrder="0" vertical="center"/>
    </xf>
    <xf borderId="0" fillId="0" fontId="14" numFmtId="0" xfId="0" applyFont="1"/>
    <xf borderId="0" fillId="3" fontId="19" numFmtId="0" xfId="0" applyAlignment="1" applyFill="1" applyFont="1">
      <alignment shrinkToFit="0" vertical="bottom" wrapText="1"/>
    </xf>
    <xf borderId="0" fillId="4" fontId="19" numFmtId="0" xfId="0" applyAlignment="1" applyFill="1" applyFont="1">
      <alignment readingOrder="0" shrinkToFit="0" vertical="bottom" wrapText="1"/>
    </xf>
    <xf borderId="0" fillId="0" fontId="12" numFmtId="0" xfId="0" applyAlignment="1" applyFont="1">
      <alignment vertical="bottom"/>
    </xf>
    <xf borderId="0" fillId="0" fontId="12" numFmtId="0" xfId="0" applyAlignment="1" applyFont="1">
      <alignment vertical="bottom"/>
    </xf>
    <xf borderId="0" fillId="0" fontId="12" numFmtId="0" xfId="0" applyAlignment="1" applyFont="1">
      <alignment horizontal="right" readingOrder="0" vertical="bottom"/>
    </xf>
    <xf borderId="0" fillId="0" fontId="9" numFmtId="0" xfId="0" applyAlignment="1" applyFont="1">
      <alignment vertical="bottom"/>
    </xf>
    <xf borderId="0" fillId="0" fontId="9" numFmtId="0" xfId="0" applyAlignment="1" applyFont="1">
      <alignment horizontal="right" vertical="bottom"/>
    </xf>
    <xf borderId="0" fillId="0" fontId="9" numFmtId="0" xfId="0" applyAlignment="1" applyFont="1">
      <alignment horizontal="right" vertical="bottom"/>
    </xf>
    <xf borderId="0" fillId="0" fontId="9" numFmtId="0" xfId="0" applyAlignment="1" applyFont="1">
      <alignment horizontal="center" vertical="bottom"/>
    </xf>
    <xf borderId="0" fillId="0" fontId="12" numFmtId="0" xfId="0" applyAlignment="1" applyFont="1">
      <alignment horizontal="center" readingOrder="0" vertical="bottom"/>
    </xf>
    <xf borderId="0" fillId="0" fontId="12" numFmtId="0" xfId="0" applyAlignment="1" applyFont="1">
      <alignment horizontal="center" vertical="bottom"/>
    </xf>
    <xf borderId="0" fillId="0" fontId="21" numFmtId="0" xfId="0" applyAlignment="1" applyFont="1">
      <alignment readingOrder="0" vertical="bottom"/>
    </xf>
    <xf borderId="4" fillId="0" fontId="14" numFmtId="0" xfId="0" applyAlignment="1" applyBorder="1" applyFont="1">
      <alignment horizontal="center" readingOrder="0"/>
    </xf>
    <xf borderId="0" fillId="0" fontId="5" numFmtId="0" xfId="0" applyAlignment="1" applyFont="1">
      <alignment horizontal="center"/>
    </xf>
    <xf borderId="0" fillId="0" fontId="22" numFmtId="10" xfId="0" applyFont="1" applyNumberFormat="1"/>
    <xf borderId="0" fillId="0" fontId="23" numFmtId="10" xfId="0" applyFont="1" applyNumberFormat="1"/>
    <xf borderId="4" fillId="0" fontId="5" numFmtId="0" xfId="0" applyAlignment="1" applyBorder="1" applyFont="1">
      <alignment horizontal="center" readingOrder="0"/>
    </xf>
    <xf borderId="0" fillId="0" fontId="5" numFmtId="0" xfId="0" applyAlignment="1" applyFont="1">
      <alignment horizontal="center" vertical="center"/>
    </xf>
    <xf borderId="0" fillId="0" fontId="5" numFmtId="0" xfId="0" applyAlignment="1" applyFont="1">
      <alignment horizontal="center" readingOrder="0" vertical="center"/>
    </xf>
    <xf borderId="0" fillId="0" fontId="9" numFmtId="0" xfId="0" applyAlignment="1" applyFont="1">
      <alignment readingOrder="0" vertical="bottom"/>
    </xf>
  </cellXfs>
  <cellStyles count="1">
    <cellStyle xfId="0" name="Normal" builtinId="0"/>
  </cellStyles>
  <dxfs count="6">
    <dxf>
      <font/>
      <fill>
        <patternFill patternType="solid">
          <fgColor rgb="FFFBBC04"/>
          <bgColor rgb="FFFBBC04"/>
        </patternFill>
      </fill>
      <border/>
    </dxf>
    <dxf>
      <font/>
      <fill>
        <patternFill patternType="solid">
          <fgColor theme="6"/>
          <bgColor theme="6"/>
        </patternFill>
      </fill>
      <border/>
    </dxf>
    <dxf>
      <font/>
      <fill>
        <patternFill patternType="solid">
          <fgColor rgb="FFB7E1CD"/>
          <bgColor rgb="FFB7E1CD"/>
        </patternFill>
      </fill>
      <border/>
    </dxf>
    <dxf>
      <font/>
      <fill>
        <patternFill patternType="solid">
          <fgColor rgb="FFF4C7C3"/>
          <bgColor rgb="FFF4C7C3"/>
        </patternFill>
      </fill>
      <border/>
    </dxf>
    <dxf>
      <font>
        <color rgb="FFB7B7B7"/>
      </font>
      <fill>
        <patternFill patternType="none"/>
      </fill>
      <border/>
    </dxf>
    <dxf>
      <font/>
      <fill>
        <patternFill patternType="solid">
          <fgColor rgb="FF6D9EEB"/>
          <bgColor rgb="FF6D9EE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JKCI6yswUKtks84SBjK2OGY4P-cIgkcF/view?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9.25"/>
    <col customWidth="1" min="3" max="3" width="118.75"/>
  </cols>
  <sheetData>
    <row r="1">
      <c r="A1" s="1"/>
    </row>
    <row r="2">
      <c r="B2" s="2" t="s">
        <v>0</v>
      </c>
    </row>
    <row r="3">
      <c r="B3" s="3"/>
    </row>
    <row r="4">
      <c r="B4" s="4" t="s">
        <v>1</v>
      </c>
    </row>
    <row r="5">
      <c r="B5" s="5" t="s">
        <v>2</v>
      </c>
    </row>
    <row r="6">
      <c r="B6" s="5"/>
    </row>
    <row r="7">
      <c r="B7" s="6" t="s">
        <v>3</v>
      </c>
    </row>
    <row r="8">
      <c r="B8" s="5" t="s">
        <v>4</v>
      </c>
    </row>
    <row r="9">
      <c r="B9" s="5" t="s">
        <v>5</v>
      </c>
    </row>
    <row r="10">
      <c r="B10" s="5" t="s">
        <v>6</v>
      </c>
    </row>
    <row r="11">
      <c r="B11" s="5" t="s">
        <v>7</v>
      </c>
    </row>
    <row r="12">
      <c r="B12" s="5" t="s">
        <v>8</v>
      </c>
    </row>
    <row r="13">
      <c r="B13" s="5"/>
    </row>
    <row r="14">
      <c r="B14" s="6" t="s">
        <v>9</v>
      </c>
    </row>
    <row r="15">
      <c r="B15" s="5" t="s">
        <v>10</v>
      </c>
    </row>
    <row r="16">
      <c r="B16" s="5" t="s">
        <v>11</v>
      </c>
    </row>
    <row r="17">
      <c r="B17" s="5"/>
      <c r="C17" s="5"/>
    </row>
    <row r="18">
      <c r="B18" s="7" t="b">
        <v>1</v>
      </c>
      <c r="C18" s="5" t="s">
        <v>12</v>
      </c>
    </row>
    <row r="19">
      <c r="B19" s="7" t="b">
        <v>0</v>
      </c>
      <c r="C19" s="5" t="s">
        <v>13</v>
      </c>
    </row>
    <row r="20">
      <c r="B20" s="7" t="s">
        <v>14</v>
      </c>
      <c r="C20" s="5" t="s">
        <v>15</v>
      </c>
    </row>
    <row r="22">
      <c r="B22" s="5" t="s">
        <v>16</v>
      </c>
    </row>
    <row r="24">
      <c r="B24" s="6" t="s">
        <v>17</v>
      </c>
    </row>
    <row r="25">
      <c r="B25" s="5" t="s">
        <v>18</v>
      </c>
      <c r="C25" s="8"/>
    </row>
    <row r="26">
      <c r="B26" s="9"/>
      <c r="C26" s="8"/>
    </row>
    <row r="27">
      <c r="B27" s="9" t="s">
        <v>19</v>
      </c>
      <c r="C27" s="8"/>
    </row>
    <row r="28">
      <c r="B28" s="10" t="s">
        <v>20</v>
      </c>
      <c r="C28" s="8"/>
    </row>
    <row r="29">
      <c r="B29" s="5"/>
      <c r="C29" s="8"/>
    </row>
    <row r="30">
      <c r="B30" s="11" t="s">
        <v>21</v>
      </c>
      <c r="C30" s="8"/>
    </row>
    <row r="31">
      <c r="B31" s="5"/>
      <c r="C31" s="8"/>
    </row>
    <row r="32">
      <c r="B32" s="9" t="s">
        <v>22</v>
      </c>
      <c r="C32" s="8"/>
    </row>
    <row r="33">
      <c r="B33" s="5" t="s">
        <v>23</v>
      </c>
      <c r="C33" s="8"/>
    </row>
    <row r="34">
      <c r="B34" s="5" t="s">
        <v>24</v>
      </c>
      <c r="C34" s="8"/>
    </row>
    <row r="35">
      <c r="C35" s="8"/>
    </row>
    <row r="36">
      <c r="B36" s="11" t="s">
        <v>21</v>
      </c>
      <c r="C36" s="8"/>
    </row>
    <row r="37">
      <c r="C37" s="8"/>
    </row>
    <row r="38">
      <c r="B38" s="9" t="s">
        <v>25</v>
      </c>
      <c r="C38" s="8"/>
    </row>
    <row r="39">
      <c r="B39" s="5" t="s">
        <v>26</v>
      </c>
      <c r="C39" s="8"/>
    </row>
    <row r="40">
      <c r="A40" s="12"/>
      <c r="B40" s="13" t="s">
        <v>27</v>
      </c>
      <c r="C40" s="14"/>
      <c r="D40" s="12"/>
      <c r="E40" s="12"/>
      <c r="F40" s="12"/>
      <c r="G40" s="12"/>
      <c r="H40" s="12"/>
      <c r="I40" s="12"/>
      <c r="J40" s="12"/>
      <c r="K40" s="12"/>
      <c r="L40" s="12"/>
      <c r="M40" s="12"/>
      <c r="N40" s="12"/>
      <c r="O40" s="12"/>
      <c r="P40" s="12"/>
      <c r="Q40" s="12"/>
      <c r="R40" s="12"/>
      <c r="S40" s="12"/>
      <c r="T40" s="12"/>
      <c r="U40" s="12"/>
      <c r="V40" s="12"/>
      <c r="W40" s="12"/>
      <c r="X40" s="12"/>
      <c r="Y40" s="12"/>
      <c r="Z40" s="12"/>
    </row>
    <row r="41">
      <c r="C41" s="8"/>
    </row>
    <row r="42">
      <c r="B42" s="9" t="s">
        <v>28</v>
      </c>
      <c r="C42" s="15"/>
    </row>
    <row r="43">
      <c r="B43" s="5" t="s">
        <v>29</v>
      </c>
    </row>
    <row r="44">
      <c r="B44" s="5" t="s">
        <v>30</v>
      </c>
    </row>
    <row r="45">
      <c r="B45" s="16"/>
    </row>
    <row r="46">
      <c r="B46" s="3" t="s">
        <v>31</v>
      </c>
    </row>
    <row r="48">
      <c r="B48" s="6" t="s">
        <v>32</v>
      </c>
    </row>
    <row r="49">
      <c r="A49" s="17"/>
      <c r="B49" s="18" t="s">
        <v>33</v>
      </c>
      <c r="C49" s="19" t="s">
        <v>34</v>
      </c>
      <c r="D49" s="12"/>
      <c r="E49" s="12"/>
      <c r="F49" s="12"/>
      <c r="G49" s="12"/>
      <c r="H49" s="12"/>
      <c r="I49" s="12"/>
      <c r="J49" s="12"/>
      <c r="K49" s="12"/>
      <c r="L49" s="12"/>
      <c r="M49" s="12"/>
      <c r="N49" s="12"/>
      <c r="O49" s="12"/>
      <c r="P49" s="12"/>
      <c r="Q49" s="12"/>
      <c r="R49" s="12"/>
      <c r="S49" s="12"/>
      <c r="T49" s="12"/>
      <c r="U49" s="12"/>
      <c r="V49" s="12"/>
      <c r="W49" s="12"/>
      <c r="X49" s="12"/>
      <c r="Y49" s="12"/>
      <c r="Z49" s="12"/>
    </row>
    <row r="50">
      <c r="A50" s="17"/>
      <c r="B50" s="20" t="s">
        <v>35</v>
      </c>
      <c r="C50" s="21" t="s">
        <v>36</v>
      </c>
      <c r="D50" s="12"/>
      <c r="E50" s="12"/>
      <c r="F50" s="12"/>
      <c r="G50" s="12"/>
      <c r="H50" s="12"/>
      <c r="I50" s="12"/>
      <c r="J50" s="12"/>
      <c r="K50" s="12"/>
      <c r="L50" s="12"/>
      <c r="M50" s="12"/>
      <c r="N50" s="12"/>
      <c r="O50" s="12"/>
      <c r="P50" s="12"/>
      <c r="Q50" s="12"/>
      <c r="R50" s="12"/>
      <c r="S50" s="12"/>
      <c r="T50" s="12"/>
      <c r="U50" s="12"/>
      <c r="V50" s="12"/>
      <c r="W50" s="12"/>
      <c r="X50" s="12"/>
      <c r="Y50" s="12"/>
      <c r="Z50" s="12"/>
    </row>
    <row r="51">
      <c r="A51" s="17"/>
      <c r="B51" s="20" t="s">
        <v>37</v>
      </c>
      <c r="C51" s="21" t="s">
        <v>38</v>
      </c>
      <c r="D51" s="12"/>
      <c r="E51" s="12"/>
      <c r="F51" s="12"/>
      <c r="G51" s="12"/>
      <c r="H51" s="12"/>
      <c r="I51" s="12"/>
      <c r="J51" s="12"/>
      <c r="K51" s="12"/>
      <c r="L51" s="12"/>
      <c r="M51" s="12"/>
      <c r="N51" s="12"/>
      <c r="O51" s="12"/>
      <c r="P51" s="12"/>
      <c r="Q51" s="12"/>
      <c r="R51" s="12"/>
      <c r="S51" s="12"/>
      <c r="T51" s="12"/>
      <c r="U51" s="12"/>
      <c r="V51" s="12"/>
      <c r="W51" s="12"/>
      <c r="X51" s="12"/>
      <c r="Y51" s="12"/>
      <c r="Z51" s="12"/>
    </row>
    <row r="52">
      <c r="A52" s="17"/>
      <c r="B52" s="20" t="s">
        <v>39</v>
      </c>
      <c r="C52" s="21" t="s">
        <v>40</v>
      </c>
      <c r="D52" s="12"/>
      <c r="E52" s="12"/>
      <c r="F52" s="12"/>
      <c r="G52" s="12"/>
      <c r="H52" s="12"/>
      <c r="I52" s="12"/>
      <c r="J52" s="12"/>
      <c r="K52" s="12"/>
      <c r="L52" s="12"/>
      <c r="M52" s="12"/>
      <c r="N52" s="12"/>
      <c r="O52" s="12"/>
      <c r="P52" s="12"/>
      <c r="Q52" s="12"/>
      <c r="R52" s="12"/>
      <c r="S52" s="12"/>
      <c r="T52" s="12"/>
      <c r="U52" s="12"/>
      <c r="V52" s="12"/>
      <c r="W52" s="12"/>
      <c r="X52" s="12"/>
      <c r="Y52" s="12"/>
      <c r="Z52" s="12"/>
    </row>
    <row r="53">
      <c r="A53" s="17"/>
      <c r="B53" s="20" t="s">
        <v>41</v>
      </c>
      <c r="C53" s="21" t="s">
        <v>42</v>
      </c>
      <c r="D53" s="12"/>
      <c r="E53" s="12"/>
      <c r="F53" s="12"/>
      <c r="G53" s="12"/>
      <c r="H53" s="12"/>
      <c r="I53" s="12"/>
      <c r="J53" s="12"/>
      <c r="K53" s="12"/>
      <c r="L53" s="12"/>
      <c r="M53" s="12"/>
      <c r="N53" s="12"/>
      <c r="O53" s="12"/>
      <c r="P53" s="12"/>
      <c r="Q53" s="12"/>
      <c r="R53" s="12"/>
      <c r="S53" s="12"/>
      <c r="T53" s="12"/>
      <c r="U53" s="12"/>
      <c r="V53" s="12"/>
      <c r="W53" s="12"/>
      <c r="X53" s="12"/>
      <c r="Y53" s="12"/>
      <c r="Z53" s="12"/>
    </row>
    <row r="54">
      <c r="A54" s="17"/>
      <c r="B54" s="20" t="s">
        <v>43</v>
      </c>
      <c r="C54" s="21" t="s">
        <v>44</v>
      </c>
      <c r="D54" s="12"/>
      <c r="E54" s="12"/>
      <c r="F54" s="12"/>
      <c r="G54" s="12"/>
      <c r="H54" s="12"/>
      <c r="I54" s="12"/>
      <c r="J54" s="12"/>
      <c r="K54" s="12"/>
      <c r="L54" s="12"/>
      <c r="M54" s="12"/>
      <c r="N54" s="12"/>
      <c r="O54" s="12"/>
      <c r="P54" s="12"/>
      <c r="Q54" s="12"/>
      <c r="R54" s="12"/>
      <c r="S54" s="12"/>
      <c r="T54" s="12"/>
      <c r="U54" s="12"/>
      <c r="V54" s="12"/>
      <c r="W54" s="12"/>
      <c r="X54" s="12"/>
      <c r="Y54" s="12"/>
      <c r="Z54" s="12"/>
    </row>
    <row r="55">
      <c r="A55" s="17"/>
      <c r="B55" s="20" t="s">
        <v>45</v>
      </c>
      <c r="C55" s="21" t="s">
        <v>46</v>
      </c>
      <c r="D55" s="12"/>
      <c r="E55" s="12"/>
      <c r="F55" s="12"/>
      <c r="G55" s="12"/>
      <c r="H55" s="12"/>
      <c r="I55" s="12"/>
      <c r="J55" s="12"/>
      <c r="K55" s="12"/>
      <c r="L55" s="12"/>
      <c r="M55" s="12"/>
      <c r="N55" s="12"/>
      <c r="O55" s="12"/>
      <c r="P55" s="12"/>
      <c r="Q55" s="12"/>
      <c r="R55" s="12"/>
      <c r="S55" s="12"/>
      <c r="T55" s="12"/>
      <c r="U55" s="12"/>
      <c r="V55" s="12"/>
      <c r="W55" s="12"/>
      <c r="X55" s="12"/>
      <c r="Y55" s="12"/>
      <c r="Z55" s="12"/>
    </row>
    <row r="56">
      <c r="A56" s="17"/>
      <c r="B56" s="20" t="s">
        <v>47</v>
      </c>
      <c r="C56" s="21" t="s">
        <v>48</v>
      </c>
      <c r="D56" s="12"/>
      <c r="E56" s="12"/>
      <c r="F56" s="12"/>
      <c r="G56" s="12"/>
      <c r="H56" s="12"/>
      <c r="I56" s="12"/>
      <c r="J56" s="12"/>
      <c r="K56" s="12"/>
      <c r="L56" s="12"/>
      <c r="M56" s="12"/>
      <c r="N56" s="12"/>
      <c r="O56" s="12"/>
      <c r="P56" s="12"/>
      <c r="Q56" s="12"/>
      <c r="R56" s="12"/>
      <c r="S56" s="12"/>
      <c r="T56" s="12"/>
      <c r="U56" s="12"/>
      <c r="V56" s="12"/>
      <c r="W56" s="12"/>
      <c r="X56" s="12"/>
      <c r="Y56" s="12"/>
      <c r="Z56" s="12"/>
    </row>
    <row r="57">
      <c r="A57" s="17"/>
      <c r="B57" s="20" t="s">
        <v>49</v>
      </c>
      <c r="C57" s="21" t="s">
        <v>50</v>
      </c>
      <c r="D57" s="12"/>
      <c r="E57" s="12"/>
      <c r="F57" s="12"/>
      <c r="G57" s="12"/>
      <c r="H57" s="12"/>
      <c r="I57" s="12"/>
      <c r="J57" s="12"/>
      <c r="K57" s="12"/>
      <c r="L57" s="12"/>
      <c r="M57" s="12"/>
      <c r="N57" s="12"/>
      <c r="O57" s="12"/>
      <c r="P57" s="12"/>
      <c r="Q57" s="12"/>
      <c r="R57" s="12"/>
      <c r="S57" s="12"/>
      <c r="T57" s="12"/>
      <c r="U57" s="12"/>
      <c r="V57" s="12"/>
      <c r="W57" s="12"/>
      <c r="X57" s="12"/>
      <c r="Y57" s="12"/>
      <c r="Z57" s="12"/>
    </row>
    <row r="58">
      <c r="A58" s="17"/>
      <c r="B58" s="20" t="s">
        <v>51</v>
      </c>
      <c r="C58" s="21" t="s">
        <v>52</v>
      </c>
      <c r="D58" s="12"/>
      <c r="E58" s="12"/>
      <c r="F58" s="12"/>
      <c r="G58" s="12"/>
      <c r="H58" s="12"/>
      <c r="I58" s="12"/>
      <c r="J58" s="12"/>
      <c r="K58" s="12"/>
      <c r="L58" s="12"/>
      <c r="M58" s="12"/>
      <c r="N58" s="12"/>
      <c r="O58" s="12"/>
      <c r="P58" s="12"/>
      <c r="Q58" s="12"/>
      <c r="R58" s="12"/>
      <c r="S58" s="12"/>
      <c r="T58" s="12"/>
      <c r="U58" s="12"/>
      <c r="V58" s="12"/>
      <c r="W58" s="12"/>
      <c r="X58" s="12"/>
      <c r="Y58" s="12"/>
      <c r="Z58" s="12"/>
    </row>
    <row r="59">
      <c r="A59" s="17"/>
      <c r="B59" s="20" t="s">
        <v>53</v>
      </c>
      <c r="C59" s="21" t="s">
        <v>54</v>
      </c>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20" t="s">
        <v>55</v>
      </c>
      <c r="C60" s="21" t="s">
        <v>56</v>
      </c>
      <c r="D60" s="12"/>
      <c r="E60" s="12"/>
      <c r="F60" s="12"/>
      <c r="G60" s="12"/>
      <c r="H60" s="12"/>
      <c r="I60" s="12"/>
      <c r="J60" s="12"/>
      <c r="K60" s="12"/>
      <c r="L60" s="12"/>
      <c r="M60" s="12"/>
      <c r="N60" s="12"/>
      <c r="O60" s="12"/>
      <c r="P60" s="12"/>
      <c r="Q60" s="12"/>
      <c r="R60" s="12"/>
      <c r="S60" s="12"/>
      <c r="T60" s="12"/>
      <c r="U60" s="12"/>
      <c r="V60" s="12"/>
      <c r="W60" s="12"/>
      <c r="X60" s="12"/>
      <c r="Y60" s="12"/>
      <c r="Z60" s="12"/>
    </row>
    <row r="61">
      <c r="B61" s="22" t="s">
        <v>57</v>
      </c>
    </row>
    <row r="63">
      <c r="B63" s="6" t="s">
        <v>58</v>
      </c>
    </row>
    <row r="64">
      <c r="B64" s="5" t="s">
        <v>59</v>
      </c>
    </row>
    <row r="65">
      <c r="B65" s="5"/>
    </row>
    <row r="66">
      <c r="B66" s="23" t="s">
        <v>60</v>
      </c>
      <c r="C66" s="23" t="s">
        <v>61</v>
      </c>
    </row>
    <row r="67">
      <c r="B67" s="22" t="s">
        <v>62</v>
      </c>
      <c r="C67" s="24" t="str">
        <f>IFERROR(__xludf.DUMMYFUNCTION("SPARKLINE((100-COUNTIF(INDIRECT(B67&amp;""!C:C""), ""TO DO""))/100+0.01,{""charttype"",""bar"";""max"",1.01;""min"",0; ""color1"", ""#4285f4""})"),"")</f>
        <v/>
      </c>
      <c r="D67" s="25" t="str">
        <f t="shared" ref="D67:D71" si="1">(100-COUNTIF(INDIRECT(B67&amp;"!C:C"), "TO DO")) &amp; " / 100"</f>
        <v>100 / 100</v>
      </c>
    </row>
    <row r="68">
      <c r="B68" s="22" t="s">
        <v>63</v>
      </c>
      <c r="C68" s="24" t="str">
        <f>IFERROR(__xludf.DUMMYFUNCTION("SPARKLINE((100-COUNTIF(INDIRECT(B68&amp;""!C:C""), ""TO DO""))/100+0.01,{""charttype"",""bar"";""max"",1.01;""min"",0; ""color1"", ""#4285f4""})"),"")</f>
        <v/>
      </c>
      <c r="D68" s="25" t="str">
        <f t="shared" si="1"/>
        <v>37 / 100</v>
      </c>
    </row>
    <row r="69">
      <c r="B69" s="22" t="s">
        <v>64</v>
      </c>
      <c r="C69" s="24" t="str">
        <f>IFERROR(__xludf.DUMMYFUNCTION("SPARKLINE((100-COUNTIF(INDIRECT(B69&amp;""!C:C""), ""TO DO""))/100+0.01,{""charttype"",""bar"";""max"",1.01;""min"",0; ""color1"", ""#4285f4""})"),"")</f>
        <v/>
      </c>
      <c r="D69" s="25" t="str">
        <f t="shared" si="1"/>
        <v>0 / 100</v>
      </c>
    </row>
    <row r="70">
      <c r="B70" s="22" t="s">
        <v>65</v>
      </c>
      <c r="C70" s="24" t="str">
        <f>IFERROR(__xludf.DUMMYFUNCTION("SPARKLINE((100-COUNTIF(INDIRECT(B70&amp;""!C:C""), ""TO DO""))/100+0.01,{""charttype"",""bar"";""max"",1.01;""min"",0; ""color1"", ""#4285f4""})"),"")</f>
        <v/>
      </c>
      <c r="D70" s="25" t="str">
        <f t="shared" si="1"/>
        <v>71 / 100</v>
      </c>
    </row>
    <row r="71">
      <c r="B71" s="22" t="s">
        <v>66</v>
      </c>
      <c r="C71" s="24" t="str">
        <f>IFERROR(__xludf.DUMMYFUNCTION("SPARKLINE((100-COUNTIF(INDIRECT(B71&amp;""!C:C""), ""TO DO""))/100+0.01,{""charttype"",""bar"";""max"",1.01;""min"",0; ""color1"", ""#4285f4""})"),"")</f>
        <v/>
      </c>
      <c r="D71" s="25" t="str">
        <f t="shared" si="1"/>
        <v>97 / 100</v>
      </c>
    </row>
    <row r="73">
      <c r="B73" s="26" t="s">
        <v>67</v>
      </c>
    </row>
    <row r="75">
      <c r="B75" s="6" t="s">
        <v>68</v>
      </c>
    </row>
    <row r="76">
      <c r="B76" s="5" t="s">
        <v>69</v>
      </c>
    </row>
    <row r="77">
      <c r="B77" s="5"/>
    </row>
    <row r="78">
      <c r="B78" s="5" t="s">
        <v>70</v>
      </c>
    </row>
    <row r="79">
      <c r="B79" s="5"/>
    </row>
    <row r="80">
      <c r="B80" s="27" t="s">
        <v>71</v>
      </c>
    </row>
    <row r="81">
      <c r="B81" s="5" t="s">
        <v>72</v>
      </c>
    </row>
    <row r="82">
      <c r="B82" s="5" t="s">
        <v>73</v>
      </c>
    </row>
    <row r="83">
      <c r="B83" s="5" t="s">
        <v>74</v>
      </c>
    </row>
    <row r="84">
      <c r="B84" s="5" t="s">
        <v>75</v>
      </c>
    </row>
    <row r="85">
      <c r="B85" s="5" t="s">
        <v>76</v>
      </c>
    </row>
    <row r="86">
      <c r="B86" s="5" t="s">
        <v>77</v>
      </c>
    </row>
    <row r="87">
      <c r="B87" s="5" t="s">
        <v>78</v>
      </c>
    </row>
    <row r="88">
      <c r="B88" s="5" t="s">
        <v>79</v>
      </c>
    </row>
    <row r="89">
      <c r="B89" s="5" t="s">
        <v>80</v>
      </c>
    </row>
    <row r="90">
      <c r="B90" s="5" t="s">
        <v>81</v>
      </c>
    </row>
    <row r="91">
      <c r="B91" s="5" t="s">
        <v>82</v>
      </c>
    </row>
    <row r="93">
      <c r="B93" s="27" t="s">
        <v>83</v>
      </c>
    </row>
    <row r="94">
      <c r="B94" s="28" t="s">
        <v>84</v>
      </c>
    </row>
    <row r="95">
      <c r="B95" s="28" t="s">
        <v>85</v>
      </c>
    </row>
    <row r="96">
      <c r="B96" s="28" t="s">
        <v>86</v>
      </c>
    </row>
    <row r="97">
      <c r="B97" s="28" t="s">
        <v>87</v>
      </c>
    </row>
    <row r="98">
      <c r="B98" s="28" t="s">
        <v>88</v>
      </c>
    </row>
    <row r="99">
      <c r="B99" s="28" t="s">
        <v>89</v>
      </c>
    </row>
    <row r="101">
      <c r="B101" s="13"/>
    </row>
    <row r="102">
      <c r="B102" s="13"/>
    </row>
    <row r="103">
      <c r="B103" s="13"/>
    </row>
    <row r="104">
      <c r="B104" s="13"/>
    </row>
    <row r="105">
      <c r="B105" s="13"/>
    </row>
  </sheetData>
  <dataValidations>
    <dataValidation type="list" allowBlank="1" showErrorMessage="1" sqref="B18:B20">
      <formula1>"TRUE,FALSE,SKIP"</formula1>
    </dataValidation>
  </dataValidations>
  <hyperlinks>
    <hyperlink r:id="rId1" ref="B61"/>
    <hyperlink display="Finn" location="Finn!A1" ref="B67"/>
    <hyperlink display="Gib" location="Gib!A1" ref="B68"/>
    <hyperlink display="Jean-Baptiste" location="'Jean-Baptiste'!A1" ref="B69"/>
    <hyperlink display="Meike" location="Meike!A1" ref="B70"/>
    <hyperlink display="Steve" location="Steve!A1" ref="B7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34.63"/>
  </cols>
  <sheetData>
    <row r="1">
      <c r="A1" s="29" t="s">
        <v>90</v>
      </c>
      <c r="B1" s="30" t="s">
        <v>91</v>
      </c>
      <c r="C1" s="31" t="s">
        <v>92</v>
      </c>
      <c r="D1" s="23" t="s">
        <v>93</v>
      </c>
    </row>
    <row r="2">
      <c r="A2" s="32" t="s">
        <v>94</v>
      </c>
      <c r="B2" s="33" t="s">
        <v>95</v>
      </c>
      <c r="C2" s="34" t="b">
        <v>1</v>
      </c>
    </row>
    <row r="3">
      <c r="A3" s="32" t="s">
        <v>96</v>
      </c>
      <c r="B3" s="33" t="s">
        <v>97</v>
      </c>
      <c r="C3" s="34" t="b">
        <v>0</v>
      </c>
    </row>
    <row r="4">
      <c r="A4" s="32" t="s">
        <v>98</v>
      </c>
      <c r="B4" s="33" t="s">
        <v>99</v>
      </c>
      <c r="C4" s="34" t="b">
        <v>0</v>
      </c>
    </row>
    <row r="5">
      <c r="A5" s="32" t="s">
        <v>100</v>
      </c>
      <c r="B5" s="33" t="s">
        <v>101</v>
      </c>
      <c r="C5" s="34" t="b">
        <v>1</v>
      </c>
      <c r="D5" s="5" t="s">
        <v>102</v>
      </c>
    </row>
    <row r="6">
      <c r="A6" s="32" t="s">
        <v>103</v>
      </c>
      <c r="B6" s="33" t="s">
        <v>104</v>
      </c>
      <c r="C6" s="34" t="b">
        <v>0</v>
      </c>
    </row>
    <row r="7">
      <c r="A7" s="32" t="s">
        <v>105</v>
      </c>
      <c r="B7" s="33" t="s">
        <v>106</v>
      </c>
      <c r="C7" s="34" t="b">
        <v>1</v>
      </c>
      <c r="D7" s="5" t="s">
        <v>107</v>
      </c>
    </row>
    <row r="8">
      <c r="A8" s="32" t="s">
        <v>108</v>
      </c>
      <c r="B8" s="33" t="s">
        <v>109</v>
      </c>
      <c r="C8" s="34" t="b">
        <v>0</v>
      </c>
    </row>
    <row r="9">
      <c r="A9" s="32" t="s">
        <v>110</v>
      </c>
      <c r="B9" s="33" t="s">
        <v>111</v>
      </c>
      <c r="C9" s="34" t="b">
        <v>1</v>
      </c>
    </row>
    <row r="10">
      <c r="A10" s="32" t="s">
        <v>112</v>
      </c>
      <c r="B10" s="33" t="s">
        <v>113</v>
      </c>
      <c r="C10" s="34" t="b">
        <v>1</v>
      </c>
    </row>
    <row r="11">
      <c r="A11" s="32" t="s">
        <v>114</v>
      </c>
      <c r="B11" s="33" t="s">
        <v>115</v>
      </c>
      <c r="C11" s="34" t="b">
        <v>1</v>
      </c>
    </row>
    <row r="12">
      <c r="A12" s="32" t="s">
        <v>116</v>
      </c>
      <c r="B12" s="33" t="s">
        <v>117</v>
      </c>
      <c r="C12" s="34" t="b">
        <v>0</v>
      </c>
    </row>
    <row r="13">
      <c r="A13" s="32" t="s">
        <v>118</v>
      </c>
      <c r="B13" s="33" t="s">
        <v>119</v>
      </c>
      <c r="C13" s="34" t="b">
        <v>0</v>
      </c>
    </row>
    <row r="14">
      <c r="A14" s="32" t="s">
        <v>120</v>
      </c>
      <c r="B14" s="33" t="s">
        <v>121</v>
      </c>
      <c r="C14" s="34" t="b">
        <v>0</v>
      </c>
    </row>
    <row r="15">
      <c r="A15" s="32" t="s">
        <v>122</v>
      </c>
      <c r="B15" s="33" t="s">
        <v>123</v>
      </c>
      <c r="C15" s="34" t="b">
        <v>1</v>
      </c>
      <c r="D15" s="5" t="s">
        <v>124</v>
      </c>
    </row>
    <row r="16">
      <c r="A16" s="32" t="s">
        <v>125</v>
      </c>
      <c r="B16" s="33" t="s">
        <v>126</v>
      </c>
      <c r="C16" s="34" t="b">
        <v>1</v>
      </c>
    </row>
    <row r="17">
      <c r="A17" s="32" t="s">
        <v>127</v>
      </c>
      <c r="B17" s="33" t="s">
        <v>128</v>
      </c>
      <c r="C17" s="34" t="b">
        <v>0</v>
      </c>
    </row>
    <row r="18">
      <c r="A18" s="32" t="s">
        <v>129</v>
      </c>
      <c r="B18" s="33" t="s">
        <v>130</v>
      </c>
      <c r="C18" s="34" t="b">
        <v>0</v>
      </c>
    </row>
    <row r="19">
      <c r="A19" s="32" t="s">
        <v>131</v>
      </c>
      <c r="B19" s="33" t="s">
        <v>132</v>
      </c>
      <c r="C19" s="34" t="b">
        <v>0</v>
      </c>
    </row>
    <row r="20">
      <c r="A20" s="32" t="s">
        <v>133</v>
      </c>
      <c r="B20" s="33" t="s">
        <v>134</v>
      </c>
      <c r="C20" s="34" t="b">
        <v>0</v>
      </c>
    </row>
    <row r="21">
      <c r="A21" s="32" t="s">
        <v>135</v>
      </c>
      <c r="B21" s="33" t="s">
        <v>136</v>
      </c>
      <c r="C21" s="34" t="b">
        <v>1</v>
      </c>
      <c r="D21" s="5" t="s">
        <v>137</v>
      </c>
    </row>
    <row r="22">
      <c r="A22" s="32" t="s">
        <v>138</v>
      </c>
      <c r="B22" s="33" t="s">
        <v>139</v>
      </c>
      <c r="C22" s="34" t="b">
        <v>1</v>
      </c>
    </row>
    <row r="23">
      <c r="A23" s="32" t="s">
        <v>140</v>
      </c>
      <c r="B23" s="33" t="s">
        <v>141</v>
      </c>
      <c r="C23" s="34" t="b">
        <v>1</v>
      </c>
    </row>
    <row r="24">
      <c r="A24" s="32" t="s">
        <v>142</v>
      </c>
      <c r="B24" s="33" t="s">
        <v>143</v>
      </c>
      <c r="C24" s="34" t="b">
        <v>1</v>
      </c>
    </row>
    <row r="25">
      <c r="A25" s="32" t="s">
        <v>144</v>
      </c>
      <c r="B25" s="33" t="s">
        <v>145</v>
      </c>
      <c r="C25" s="34" t="b">
        <v>1</v>
      </c>
      <c r="D25" s="5" t="s">
        <v>146</v>
      </c>
    </row>
    <row r="26">
      <c r="A26" s="32" t="s">
        <v>147</v>
      </c>
      <c r="B26" s="33" t="s">
        <v>148</v>
      </c>
      <c r="C26" s="34" t="b">
        <v>0</v>
      </c>
    </row>
    <row r="27">
      <c r="A27" s="32" t="s">
        <v>149</v>
      </c>
      <c r="B27" s="33" t="s">
        <v>150</v>
      </c>
      <c r="C27" s="34" t="b">
        <v>0</v>
      </c>
    </row>
    <row r="28">
      <c r="A28" s="32" t="s">
        <v>151</v>
      </c>
      <c r="B28" s="33" t="s">
        <v>152</v>
      </c>
      <c r="C28" s="34" t="b">
        <v>1</v>
      </c>
    </row>
    <row r="29">
      <c r="A29" s="32" t="s">
        <v>153</v>
      </c>
      <c r="B29" s="33" t="s">
        <v>154</v>
      </c>
      <c r="C29" s="34" t="b">
        <v>1</v>
      </c>
    </row>
    <row r="30">
      <c r="A30" s="32" t="s">
        <v>155</v>
      </c>
      <c r="B30" s="33" t="s">
        <v>156</v>
      </c>
      <c r="C30" s="34" t="b">
        <v>0</v>
      </c>
    </row>
    <row r="31">
      <c r="A31" s="32" t="s">
        <v>157</v>
      </c>
      <c r="B31" s="33" t="s">
        <v>158</v>
      </c>
      <c r="C31" s="34" t="b">
        <v>0</v>
      </c>
    </row>
    <row r="32">
      <c r="A32" s="32" t="s">
        <v>159</v>
      </c>
      <c r="B32" s="33" t="s">
        <v>160</v>
      </c>
      <c r="C32" s="34" t="b">
        <v>1</v>
      </c>
    </row>
    <row r="33">
      <c r="A33" s="32" t="s">
        <v>161</v>
      </c>
      <c r="B33" s="33" t="s">
        <v>162</v>
      </c>
      <c r="C33" s="34" t="b">
        <v>0</v>
      </c>
    </row>
    <row r="34">
      <c r="A34" s="32" t="s">
        <v>163</v>
      </c>
      <c r="B34" s="33" t="s">
        <v>164</v>
      </c>
      <c r="C34" s="34" t="b">
        <v>1</v>
      </c>
    </row>
    <row r="35">
      <c r="A35" s="32" t="s">
        <v>165</v>
      </c>
      <c r="B35" s="33" t="s">
        <v>166</v>
      </c>
      <c r="C35" s="34" t="b">
        <v>0</v>
      </c>
    </row>
    <row r="36">
      <c r="A36" s="32" t="s">
        <v>167</v>
      </c>
      <c r="B36" s="33" t="s">
        <v>168</v>
      </c>
      <c r="C36" s="34" t="b">
        <v>0</v>
      </c>
    </row>
    <row r="37">
      <c r="A37" s="32" t="s">
        <v>169</v>
      </c>
      <c r="B37" s="33" t="s">
        <v>170</v>
      </c>
      <c r="C37" s="34" t="b">
        <v>1</v>
      </c>
    </row>
    <row r="38">
      <c r="A38" s="32" t="s">
        <v>171</v>
      </c>
      <c r="B38" s="33" t="s">
        <v>172</v>
      </c>
      <c r="C38" s="34" t="b">
        <v>0</v>
      </c>
    </row>
    <row r="39">
      <c r="A39" s="32" t="s">
        <v>173</v>
      </c>
      <c r="B39" s="33" t="s">
        <v>174</v>
      </c>
      <c r="C39" s="34" t="b">
        <v>0</v>
      </c>
    </row>
    <row r="40">
      <c r="A40" s="32" t="s">
        <v>175</v>
      </c>
      <c r="B40" s="33" t="s">
        <v>176</v>
      </c>
      <c r="C40" s="34" t="b">
        <v>0</v>
      </c>
    </row>
    <row r="41">
      <c r="A41" s="32" t="s">
        <v>177</v>
      </c>
      <c r="B41" s="33" t="s">
        <v>178</v>
      </c>
      <c r="C41" s="34" t="b">
        <v>0</v>
      </c>
    </row>
    <row r="42">
      <c r="A42" s="32" t="s">
        <v>179</v>
      </c>
      <c r="B42" s="33" t="s">
        <v>180</v>
      </c>
      <c r="C42" s="34" t="b">
        <v>1</v>
      </c>
      <c r="D42" s="5" t="s">
        <v>181</v>
      </c>
    </row>
    <row r="43">
      <c r="A43" s="32" t="s">
        <v>182</v>
      </c>
      <c r="B43" s="33" t="s">
        <v>183</v>
      </c>
      <c r="C43" s="34" t="b">
        <v>1</v>
      </c>
    </row>
    <row r="44">
      <c r="A44" s="32" t="s">
        <v>184</v>
      </c>
      <c r="B44" s="33" t="s">
        <v>185</v>
      </c>
      <c r="C44" s="34" t="b">
        <v>1</v>
      </c>
    </row>
    <row r="45">
      <c r="A45" s="32" t="s">
        <v>186</v>
      </c>
      <c r="B45" s="33" t="s">
        <v>187</v>
      </c>
      <c r="C45" s="34" t="b">
        <v>1</v>
      </c>
    </row>
    <row r="46">
      <c r="A46" s="32" t="s">
        <v>188</v>
      </c>
      <c r="B46" s="33" t="s">
        <v>189</v>
      </c>
      <c r="C46" s="34" t="b">
        <v>1</v>
      </c>
    </row>
    <row r="47">
      <c r="A47" s="32" t="s">
        <v>190</v>
      </c>
      <c r="B47" s="33" t="s">
        <v>191</v>
      </c>
      <c r="C47" s="34" t="b">
        <v>1</v>
      </c>
    </row>
    <row r="48">
      <c r="A48" s="32" t="s">
        <v>192</v>
      </c>
      <c r="B48" s="33" t="s">
        <v>193</v>
      </c>
      <c r="C48" s="34" t="b">
        <v>1</v>
      </c>
    </row>
    <row r="49">
      <c r="A49" s="32" t="s">
        <v>194</v>
      </c>
      <c r="B49" s="33" t="s">
        <v>195</v>
      </c>
      <c r="C49" s="34" t="b">
        <v>0</v>
      </c>
    </row>
    <row r="50">
      <c r="A50" s="32" t="s">
        <v>196</v>
      </c>
      <c r="B50" s="33" t="s">
        <v>197</v>
      </c>
      <c r="C50" s="34" t="b">
        <v>1</v>
      </c>
    </row>
    <row r="51">
      <c r="A51" s="32" t="s">
        <v>198</v>
      </c>
      <c r="B51" s="33" t="s">
        <v>199</v>
      </c>
      <c r="C51" s="34" t="b">
        <v>0</v>
      </c>
    </row>
    <row r="52">
      <c r="A52" s="32" t="s">
        <v>200</v>
      </c>
      <c r="B52" s="33" t="s">
        <v>201</v>
      </c>
      <c r="C52" s="34" t="b">
        <v>0</v>
      </c>
    </row>
    <row r="53">
      <c r="A53" s="32" t="s">
        <v>202</v>
      </c>
      <c r="B53" s="33" t="s">
        <v>203</v>
      </c>
      <c r="C53" s="34" t="b">
        <v>0</v>
      </c>
    </row>
    <row r="54">
      <c r="A54" s="32" t="s">
        <v>204</v>
      </c>
      <c r="B54" s="33" t="s">
        <v>205</v>
      </c>
      <c r="C54" s="34" t="b">
        <v>0</v>
      </c>
    </row>
    <row r="55">
      <c r="A55" s="32" t="s">
        <v>206</v>
      </c>
      <c r="B55" s="33" t="s">
        <v>207</v>
      </c>
      <c r="C55" s="34" t="b">
        <v>1</v>
      </c>
    </row>
    <row r="56">
      <c r="A56" s="32" t="s">
        <v>208</v>
      </c>
      <c r="B56" s="33" t="s">
        <v>209</v>
      </c>
      <c r="C56" s="34" t="b">
        <v>0</v>
      </c>
    </row>
    <row r="57">
      <c r="A57" s="32" t="s">
        <v>210</v>
      </c>
      <c r="B57" s="33" t="s">
        <v>211</v>
      </c>
      <c r="C57" s="34" t="b">
        <v>0</v>
      </c>
    </row>
    <row r="58">
      <c r="A58" s="32" t="s">
        <v>212</v>
      </c>
      <c r="B58" s="33" t="s">
        <v>213</v>
      </c>
      <c r="C58" s="34" t="b">
        <v>1</v>
      </c>
    </row>
    <row r="59">
      <c r="A59" s="32" t="s">
        <v>214</v>
      </c>
      <c r="B59" s="33" t="s">
        <v>215</v>
      </c>
      <c r="C59" s="34" t="b">
        <v>0</v>
      </c>
    </row>
    <row r="60">
      <c r="A60" s="32" t="s">
        <v>216</v>
      </c>
      <c r="B60" s="33" t="s">
        <v>217</v>
      </c>
      <c r="C60" s="34" t="b">
        <v>1</v>
      </c>
      <c r="D60" s="5" t="s">
        <v>218</v>
      </c>
    </row>
    <row r="61">
      <c r="A61" s="32" t="s">
        <v>219</v>
      </c>
      <c r="B61" s="33" t="s">
        <v>220</v>
      </c>
      <c r="C61" s="34" t="b">
        <v>0</v>
      </c>
    </row>
    <row r="62">
      <c r="A62" s="32" t="s">
        <v>221</v>
      </c>
      <c r="B62" s="33" t="s">
        <v>222</v>
      </c>
      <c r="C62" s="34" t="b">
        <v>0</v>
      </c>
    </row>
    <row r="63">
      <c r="A63" s="32" t="s">
        <v>223</v>
      </c>
      <c r="B63" s="33" t="s">
        <v>224</v>
      </c>
      <c r="C63" s="34" t="b">
        <v>1</v>
      </c>
    </row>
    <row r="64">
      <c r="A64" s="32" t="s">
        <v>225</v>
      </c>
      <c r="B64" s="33" t="s">
        <v>226</v>
      </c>
      <c r="C64" s="34" t="b">
        <v>0</v>
      </c>
    </row>
    <row r="65">
      <c r="A65" s="32" t="s">
        <v>227</v>
      </c>
      <c r="B65" s="33" t="s">
        <v>228</v>
      </c>
      <c r="C65" s="34" t="b">
        <v>1</v>
      </c>
    </row>
    <row r="66">
      <c r="A66" s="32" t="s">
        <v>229</v>
      </c>
      <c r="B66" s="33" t="s">
        <v>230</v>
      </c>
      <c r="C66" s="34" t="b">
        <v>0</v>
      </c>
    </row>
    <row r="67">
      <c r="A67" s="32" t="s">
        <v>231</v>
      </c>
      <c r="B67" s="33" t="s">
        <v>232</v>
      </c>
      <c r="C67" s="34" t="b">
        <v>1</v>
      </c>
    </row>
    <row r="68">
      <c r="A68" s="32" t="s">
        <v>233</v>
      </c>
      <c r="B68" s="33" t="s">
        <v>234</v>
      </c>
      <c r="C68" s="34" t="b">
        <v>0</v>
      </c>
    </row>
    <row r="69">
      <c r="A69" s="32" t="s">
        <v>235</v>
      </c>
      <c r="B69" s="33" t="s">
        <v>236</v>
      </c>
      <c r="C69" s="34" t="b">
        <v>0</v>
      </c>
    </row>
    <row r="70">
      <c r="A70" s="32" t="s">
        <v>237</v>
      </c>
      <c r="B70" s="33" t="s">
        <v>238</v>
      </c>
      <c r="C70" s="34" t="b">
        <v>1</v>
      </c>
    </row>
    <row r="71">
      <c r="A71" s="32" t="s">
        <v>239</v>
      </c>
      <c r="B71" s="33" t="s">
        <v>240</v>
      </c>
      <c r="C71" s="34" t="b">
        <v>0</v>
      </c>
    </row>
    <row r="72">
      <c r="A72" s="32" t="s">
        <v>241</v>
      </c>
      <c r="B72" s="33" t="s">
        <v>242</v>
      </c>
      <c r="C72" s="34" t="b">
        <v>0</v>
      </c>
    </row>
    <row r="73">
      <c r="A73" s="32" t="s">
        <v>243</v>
      </c>
      <c r="B73" s="33" t="s">
        <v>244</v>
      </c>
      <c r="C73" s="34" t="b">
        <v>1</v>
      </c>
    </row>
    <row r="74">
      <c r="A74" s="32" t="s">
        <v>245</v>
      </c>
      <c r="B74" s="33" t="s">
        <v>246</v>
      </c>
      <c r="C74" s="34" t="b">
        <v>0</v>
      </c>
    </row>
    <row r="75">
      <c r="A75" s="32" t="s">
        <v>247</v>
      </c>
      <c r="B75" s="33" t="s">
        <v>248</v>
      </c>
      <c r="C75" s="34" t="b">
        <v>0</v>
      </c>
    </row>
    <row r="76">
      <c r="A76" s="32" t="s">
        <v>249</v>
      </c>
      <c r="B76" s="33" t="s">
        <v>250</v>
      </c>
      <c r="C76" s="34" t="b">
        <v>1</v>
      </c>
    </row>
    <row r="77">
      <c r="A77" s="32" t="s">
        <v>251</v>
      </c>
      <c r="B77" s="33" t="s">
        <v>252</v>
      </c>
      <c r="C77" s="34" t="b">
        <v>1</v>
      </c>
    </row>
    <row r="78">
      <c r="A78" s="32" t="s">
        <v>253</v>
      </c>
      <c r="B78" s="33" t="s">
        <v>254</v>
      </c>
      <c r="C78" s="34" t="b">
        <v>1</v>
      </c>
    </row>
    <row r="79">
      <c r="A79" s="32" t="s">
        <v>255</v>
      </c>
      <c r="B79" s="33" t="s">
        <v>256</v>
      </c>
      <c r="C79" s="34" t="b">
        <v>1</v>
      </c>
    </row>
    <row r="80">
      <c r="A80" s="32" t="s">
        <v>257</v>
      </c>
      <c r="B80" s="33" t="s">
        <v>258</v>
      </c>
      <c r="C80" s="34" t="b">
        <v>0</v>
      </c>
    </row>
    <row r="81">
      <c r="A81" s="32" t="s">
        <v>259</v>
      </c>
      <c r="B81" s="33" t="s">
        <v>260</v>
      </c>
      <c r="C81" s="34" t="b">
        <v>0</v>
      </c>
    </row>
    <row r="82">
      <c r="A82" s="32" t="s">
        <v>261</v>
      </c>
      <c r="B82" s="33" t="s">
        <v>262</v>
      </c>
      <c r="C82" s="34" t="b">
        <v>0</v>
      </c>
    </row>
    <row r="83">
      <c r="A83" s="32" t="s">
        <v>263</v>
      </c>
      <c r="B83" s="33" t="s">
        <v>264</v>
      </c>
      <c r="C83" s="34" t="b">
        <v>0</v>
      </c>
    </row>
    <row r="84">
      <c r="A84" s="32" t="s">
        <v>265</v>
      </c>
      <c r="B84" s="33" t="s">
        <v>266</v>
      </c>
      <c r="C84" s="34" t="b">
        <v>0</v>
      </c>
    </row>
    <row r="85">
      <c r="A85" s="32" t="s">
        <v>267</v>
      </c>
      <c r="B85" s="33" t="s">
        <v>268</v>
      </c>
      <c r="C85" s="34" t="b">
        <v>0</v>
      </c>
    </row>
    <row r="86">
      <c r="A86" s="32" t="s">
        <v>269</v>
      </c>
      <c r="B86" s="33" t="s">
        <v>270</v>
      </c>
      <c r="C86" s="34" t="b">
        <v>0</v>
      </c>
    </row>
    <row r="87">
      <c r="A87" s="32" t="s">
        <v>271</v>
      </c>
      <c r="B87" s="33" t="s">
        <v>272</v>
      </c>
      <c r="C87" s="34" t="b">
        <v>0</v>
      </c>
    </row>
    <row r="88">
      <c r="A88" s="32" t="s">
        <v>273</v>
      </c>
      <c r="B88" s="33" t="s">
        <v>274</v>
      </c>
      <c r="C88" s="34" t="b">
        <v>0</v>
      </c>
    </row>
    <row r="89">
      <c r="A89" s="32" t="s">
        <v>275</v>
      </c>
      <c r="B89" s="33" t="s">
        <v>276</v>
      </c>
      <c r="C89" s="34" t="b">
        <v>1</v>
      </c>
    </row>
    <row r="90">
      <c r="A90" s="32" t="s">
        <v>277</v>
      </c>
      <c r="B90" s="33" t="s">
        <v>278</v>
      </c>
      <c r="C90" s="34" t="b">
        <v>0</v>
      </c>
    </row>
    <row r="91">
      <c r="A91" s="32" t="s">
        <v>279</v>
      </c>
      <c r="B91" s="33" t="s">
        <v>280</v>
      </c>
      <c r="C91" s="34" t="b">
        <v>1</v>
      </c>
    </row>
    <row r="92">
      <c r="A92" s="32" t="s">
        <v>281</v>
      </c>
      <c r="B92" s="33" t="s">
        <v>282</v>
      </c>
      <c r="C92" s="34" t="b">
        <v>0</v>
      </c>
    </row>
    <row r="93">
      <c r="A93" s="32" t="s">
        <v>283</v>
      </c>
      <c r="B93" s="33" t="s">
        <v>284</v>
      </c>
      <c r="C93" s="34" t="b">
        <v>0</v>
      </c>
    </row>
    <row r="94">
      <c r="A94" s="32" t="s">
        <v>285</v>
      </c>
      <c r="B94" s="33" t="s">
        <v>286</v>
      </c>
      <c r="C94" s="34" t="b">
        <v>0</v>
      </c>
    </row>
    <row r="95">
      <c r="A95" s="32" t="s">
        <v>287</v>
      </c>
      <c r="B95" s="33" t="s">
        <v>288</v>
      </c>
      <c r="C95" s="34" t="b">
        <v>1</v>
      </c>
    </row>
    <row r="96">
      <c r="A96" s="32" t="s">
        <v>289</v>
      </c>
      <c r="B96" s="33" t="s">
        <v>290</v>
      </c>
      <c r="C96" s="34" t="b">
        <v>0</v>
      </c>
    </row>
    <row r="97">
      <c r="A97" s="32" t="s">
        <v>291</v>
      </c>
      <c r="B97" s="33" t="s">
        <v>292</v>
      </c>
      <c r="C97" s="34" t="b">
        <v>1</v>
      </c>
    </row>
    <row r="98">
      <c r="A98" s="32" t="s">
        <v>293</v>
      </c>
      <c r="B98" s="33" t="s">
        <v>294</v>
      </c>
      <c r="C98" s="34" t="b">
        <v>1</v>
      </c>
    </row>
    <row r="99">
      <c r="A99" s="32" t="s">
        <v>295</v>
      </c>
      <c r="B99" s="33" t="s">
        <v>296</v>
      </c>
      <c r="C99" s="34" t="b">
        <v>1</v>
      </c>
    </row>
    <row r="100">
      <c r="A100" s="32" t="s">
        <v>297</v>
      </c>
      <c r="B100" s="33" t="s">
        <v>298</v>
      </c>
      <c r="C100" s="34" t="b">
        <v>1</v>
      </c>
    </row>
    <row r="101">
      <c r="A101" s="32" t="s">
        <v>299</v>
      </c>
      <c r="B101" s="33" t="s">
        <v>300</v>
      </c>
      <c r="C101" s="34" t="b">
        <v>1</v>
      </c>
    </row>
  </sheetData>
  <dataValidations>
    <dataValidation type="list" allowBlank="1" showErrorMessage="1" sqref="C2:C101">
      <formula1>"TO DO,TRUE,FALSE,SKIP"</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60.63"/>
  </cols>
  <sheetData>
    <row r="1">
      <c r="A1" s="29" t="s">
        <v>90</v>
      </c>
      <c r="B1" s="30" t="s">
        <v>91</v>
      </c>
      <c r="C1" s="31" t="s">
        <v>92</v>
      </c>
      <c r="D1" s="23" t="s">
        <v>93</v>
      </c>
    </row>
    <row r="2">
      <c r="A2" s="32" t="s">
        <v>221</v>
      </c>
      <c r="B2" s="33" t="s">
        <v>222</v>
      </c>
      <c r="C2" s="34" t="b">
        <v>1</v>
      </c>
      <c r="D2" s="5" t="s">
        <v>301</v>
      </c>
    </row>
    <row r="3">
      <c r="A3" s="32" t="s">
        <v>247</v>
      </c>
      <c r="B3" s="33" t="s">
        <v>248</v>
      </c>
      <c r="C3" s="34" t="b">
        <v>0</v>
      </c>
    </row>
    <row r="4">
      <c r="A4" s="32" t="s">
        <v>251</v>
      </c>
      <c r="B4" s="33" t="s">
        <v>252</v>
      </c>
      <c r="C4" s="34" t="b">
        <v>1</v>
      </c>
    </row>
    <row r="5">
      <c r="A5" s="32" t="s">
        <v>281</v>
      </c>
      <c r="B5" s="33" t="s">
        <v>282</v>
      </c>
      <c r="C5" s="34" t="b">
        <v>0</v>
      </c>
    </row>
    <row r="6">
      <c r="A6" s="32" t="s">
        <v>94</v>
      </c>
      <c r="B6" s="33" t="s">
        <v>95</v>
      </c>
      <c r="C6" s="34" t="b">
        <v>1</v>
      </c>
    </row>
    <row r="7">
      <c r="A7" s="32" t="s">
        <v>206</v>
      </c>
      <c r="B7" s="33" t="s">
        <v>207</v>
      </c>
      <c r="C7" s="34" t="b">
        <v>1</v>
      </c>
    </row>
    <row r="8">
      <c r="A8" s="32" t="s">
        <v>186</v>
      </c>
      <c r="B8" s="33" t="s">
        <v>187</v>
      </c>
      <c r="C8" s="34" t="b">
        <v>1</v>
      </c>
    </row>
    <row r="9">
      <c r="A9" s="32" t="s">
        <v>163</v>
      </c>
      <c r="B9" s="33" t="s">
        <v>164</v>
      </c>
      <c r="C9" s="34" t="b">
        <v>1</v>
      </c>
    </row>
    <row r="10">
      <c r="A10" s="32" t="s">
        <v>161</v>
      </c>
      <c r="B10" s="33" t="s">
        <v>162</v>
      </c>
      <c r="C10" s="34" t="b">
        <v>0</v>
      </c>
    </row>
    <row r="11">
      <c r="A11" s="32" t="s">
        <v>173</v>
      </c>
      <c r="B11" s="33" t="s">
        <v>174</v>
      </c>
      <c r="C11" s="34" t="b">
        <v>0</v>
      </c>
      <c r="D11" s="5" t="s">
        <v>302</v>
      </c>
    </row>
    <row r="12">
      <c r="A12" s="32" t="s">
        <v>208</v>
      </c>
      <c r="B12" s="33" t="s">
        <v>209</v>
      </c>
      <c r="C12" s="34" t="b">
        <v>0</v>
      </c>
    </row>
    <row r="13">
      <c r="A13" s="32" t="s">
        <v>210</v>
      </c>
      <c r="B13" s="33" t="s">
        <v>211</v>
      </c>
      <c r="C13" s="34" t="b">
        <v>0</v>
      </c>
    </row>
    <row r="14">
      <c r="A14" s="32" t="s">
        <v>196</v>
      </c>
      <c r="B14" s="33" t="s">
        <v>197</v>
      </c>
      <c r="C14" s="34" t="b">
        <v>1</v>
      </c>
    </row>
    <row r="15">
      <c r="A15" s="32" t="s">
        <v>169</v>
      </c>
      <c r="B15" s="33" t="s">
        <v>170</v>
      </c>
      <c r="C15" s="34" t="b">
        <v>1</v>
      </c>
    </row>
    <row r="16">
      <c r="A16" s="32" t="s">
        <v>257</v>
      </c>
      <c r="B16" s="33" t="s">
        <v>258</v>
      </c>
      <c r="C16" s="34" t="b">
        <v>0</v>
      </c>
    </row>
    <row r="17">
      <c r="A17" s="32" t="s">
        <v>287</v>
      </c>
      <c r="B17" s="33" t="s">
        <v>288</v>
      </c>
      <c r="C17" s="34" t="b">
        <v>1</v>
      </c>
    </row>
    <row r="18">
      <c r="A18" s="32" t="s">
        <v>245</v>
      </c>
      <c r="B18" s="33" t="s">
        <v>246</v>
      </c>
      <c r="C18" s="34" t="b">
        <v>1</v>
      </c>
      <c r="D18" s="5" t="s">
        <v>303</v>
      </c>
    </row>
    <row r="19">
      <c r="A19" s="32" t="s">
        <v>293</v>
      </c>
      <c r="B19" s="33" t="s">
        <v>294</v>
      </c>
      <c r="C19" s="34" t="b">
        <v>1</v>
      </c>
    </row>
    <row r="20">
      <c r="A20" s="32" t="s">
        <v>125</v>
      </c>
      <c r="B20" s="33" t="s">
        <v>126</v>
      </c>
      <c r="C20" s="34" t="s">
        <v>304</v>
      </c>
    </row>
    <row r="21">
      <c r="A21" s="32" t="s">
        <v>179</v>
      </c>
      <c r="B21" s="33" t="s">
        <v>180</v>
      </c>
      <c r="C21" s="34" t="s">
        <v>304</v>
      </c>
    </row>
    <row r="22">
      <c r="A22" s="32" t="s">
        <v>138</v>
      </c>
      <c r="B22" s="33" t="s">
        <v>139</v>
      </c>
      <c r="C22" s="34" t="s">
        <v>304</v>
      </c>
    </row>
    <row r="23">
      <c r="A23" s="32" t="s">
        <v>216</v>
      </c>
      <c r="B23" s="33" t="s">
        <v>217</v>
      </c>
      <c r="C23" s="34" t="s">
        <v>304</v>
      </c>
    </row>
    <row r="24">
      <c r="A24" s="32" t="s">
        <v>155</v>
      </c>
      <c r="B24" s="33" t="s">
        <v>156</v>
      </c>
      <c r="C24" s="34" t="s">
        <v>304</v>
      </c>
    </row>
    <row r="25">
      <c r="A25" s="32" t="s">
        <v>285</v>
      </c>
      <c r="B25" s="33" t="s">
        <v>286</v>
      </c>
      <c r="C25" s="34" t="s">
        <v>304</v>
      </c>
    </row>
    <row r="26">
      <c r="A26" s="32" t="s">
        <v>241</v>
      </c>
      <c r="B26" s="33" t="s">
        <v>242</v>
      </c>
      <c r="C26" s="34" t="s">
        <v>304</v>
      </c>
    </row>
    <row r="27">
      <c r="A27" s="32" t="s">
        <v>100</v>
      </c>
      <c r="B27" s="33" t="s">
        <v>101</v>
      </c>
      <c r="C27" s="34" t="s">
        <v>304</v>
      </c>
    </row>
    <row r="28">
      <c r="A28" s="32" t="s">
        <v>105</v>
      </c>
      <c r="B28" s="33" t="s">
        <v>106</v>
      </c>
      <c r="C28" s="34" t="s">
        <v>304</v>
      </c>
    </row>
    <row r="29">
      <c r="A29" s="32" t="s">
        <v>175</v>
      </c>
      <c r="B29" s="33" t="s">
        <v>176</v>
      </c>
      <c r="C29" s="34" t="s">
        <v>304</v>
      </c>
    </row>
    <row r="30">
      <c r="A30" s="32" t="s">
        <v>142</v>
      </c>
      <c r="B30" s="33" t="s">
        <v>143</v>
      </c>
      <c r="C30" s="34" t="s">
        <v>304</v>
      </c>
    </row>
    <row r="31">
      <c r="A31" s="32" t="s">
        <v>269</v>
      </c>
      <c r="B31" s="33" t="s">
        <v>270</v>
      </c>
      <c r="C31" s="34" t="s">
        <v>304</v>
      </c>
    </row>
    <row r="32">
      <c r="A32" s="32" t="s">
        <v>182</v>
      </c>
      <c r="B32" s="33" t="s">
        <v>183</v>
      </c>
      <c r="C32" s="34" t="s">
        <v>304</v>
      </c>
    </row>
    <row r="33">
      <c r="A33" s="32" t="s">
        <v>229</v>
      </c>
      <c r="B33" s="33" t="s">
        <v>230</v>
      </c>
      <c r="C33" s="34" t="s">
        <v>304</v>
      </c>
    </row>
    <row r="34">
      <c r="A34" s="32" t="s">
        <v>118</v>
      </c>
      <c r="B34" s="33" t="s">
        <v>119</v>
      </c>
      <c r="C34" s="34" t="s">
        <v>304</v>
      </c>
    </row>
    <row r="35">
      <c r="A35" s="32" t="s">
        <v>204</v>
      </c>
      <c r="B35" s="33" t="s">
        <v>205</v>
      </c>
      <c r="C35" s="34" t="s">
        <v>304</v>
      </c>
    </row>
    <row r="36">
      <c r="A36" s="32" t="s">
        <v>151</v>
      </c>
      <c r="B36" s="33" t="s">
        <v>152</v>
      </c>
      <c r="C36" s="34" t="s">
        <v>304</v>
      </c>
    </row>
    <row r="37">
      <c r="A37" s="32" t="s">
        <v>127</v>
      </c>
      <c r="B37" s="33" t="s">
        <v>128</v>
      </c>
      <c r="C37" s="34" t="s">
        <v>304</v>
      </c>
    </row>
    <row r="38">
      <c r="A38" s="32" t="s">
        <v>120</v>
      </c>
      <c r="B38" s="33" t="s">
        <v>121</v>
      </c>
      <c r="C38" s="34" t="s">
        <v>304</v>
      </c>
    </row>
    <row r="39">
      <c r="A39" s="32" t="s">
        <v>133</v>
      </c>
      <c r="B39" s="33" t="s">
        <v>134</v>
      </c>
      <c r="C39" s="34" t="s">
        <v>304</v>
      </c>
    </row>
    <row r="40">
      <c r="A40" s="32" t="s">
        <v>219</v>
      </c>
      <c r="B40" s="33" t="s">
        <v>220</v>
      </c>
      <c r="C40" s="34" t="s">
        <v>304</v>
      </c>
    </row>
    <row r="41">
      <c r="A41" s="32" t="s">
        <v>140</v>
      </c>
      <c r="B41" s="33" t="s">
        <v>141</v>
      </c>
      <c r="C41" s="34" t="s">
        <v>304</v>
      </c>
    </row>
    <row r="42">
      <c r="A42" s="32" t="s">
        <v>114</v>
      </c>
      <c r="B42" s="33" t="s">
        <v>115</v>
      </c>
      <c r="C42" s="34" t="s">
        <v>304</v>
      </c>
    </row>
    <row r="43">
      <c r="A43" s="32" t="s">
        <v>96</v>
      </c>
      <c r="B43" s="33" t="s">
        <v>97</v>
      </c>
      <c r="C43" s="34" t="s">
        <v>304</v>
      </c>
    </row>
    <row r="44">
      <c r="A44" s="32" t="s">
        <v>283</v>
      </c>
      <c r="B44" s="33" t="s">
        <v>284</v>
      </c>
      <c r="C44" s="34" t="s">
        <v>304</v>
      </c>
    </row>
    <row r="45">
      <c r="A45" s="32" t="s">
        <v>192</v>
      </c>
      <c r="B45" s="33" t="s">
        <v>193</v>
      </c>
      <c r="C45" s="34" t="s">
        <v>304</v>
      </c>
    </row>
    <row r="46">
      <c r="A46" s="32" t="s">
        <v>259</v>
      </c>
      <c r="B46" s="33" t="s">
        <v>260</v>
      </c>
      <c r="C46" s="34" t="s">
        <v>304</v>
      </c>
    </row>
    <row r="47">
      <c r="A47" s="32" t="s">
        <v>261</v>
      </c>
      <c r="B47" s="33" t="s">
        <v>262</v>
      </c>
      <c r="C47" s="34" t="s">
        <v>304</v>
      </c>
    </row>
    <row r="48">
      <c r="A48" s="32" t="s">
        <v>271</v>
      </c>
      <c r="B48" s="33" t="s">
        <v>272</v>
      </c>
      <c r="C48" s="34" t="s">
        <v>304</v>
      </c>
    </row>
    <row r="49">
      <c r="A49" s="32" t="s">
        <v>279</v>
      </c>
      <c r="B49" s="33" t="s">
        <v>280</v>
      </c>
      <c r="C49" s="34" t="s">
        <v>304</v>
      </c>
    </row>
    <row r="50">
      <c r="A50" s="32" t="s">
        <v>177</v>
      </c>
      <c r="B50" s="33" t="s">
        <v>178</v>
      </c>
      <c r="C50" s="34" t="s">
        <v>304</v>
      </c>
    </row>
    <row r="51">
      <c r="A51" s="32" t="s">
        <v>144</v>
      </c>
      <c r="B51" s="33" t="s">
        <v>145</v>
      </c>
      <c r="C51" s="34" t="s">
        <v>304</v>
      </c>
    </row>
    <row r="52">
      <c r="A52" s="32" t="s">
        <v>265</v>
      </c>
      <c r="B52" s="33" t="s">
        <v>266</v>
      </c>
      <c r="C52" s="34" t="s">
        <v>304</v>
      </c>
    </row>
    <row r="53">
      <c r="A53" s="32" t="s">
        <v>237</v>
      </c>
      <c r="B53" s="33" t="s">
        <v>238</v>
      </c>
      <c r="C53" s="34" t="s">
        <v>304</v>
      </c>
    </row>
    <row r="54">
      <c r="A54" s="32" t="s">
        <v>275</v>
      </c>
      <c r="B54" s="33" t="s">
        <v>276</v>
      </c>
      <c r="C54" s="34" t="s">
        <v>304</v>
      </c>
    </row>
    <row r="55">
      <c r="A55" s="32" t="s">
        <v>235</v>
      </c>
      <c r="B55" s="33" t="s">
        <v>236</v>
      </c>
      <c r="C55" s="34" t="s">
        <v>304</v>
      </c>
    </row>
    <row r="56">
      <c r="A56" s="32" t="s">
        <v>159</v>
      </c>
      <c r="B56" s="33" t="s">
        <v>160</v>
      </c>
      <c r="C56" s="34" t="s">
        <v>304</v>
      </c>
    </row>
    <row r="57">
      <c r="A57" s="32" t="s">
        <v>273</v>
      </c>
      <c r="B57" s="33" t="s">
        <v>274</v>
      </c>
      <c r="C57" s="34" t="s">
        <v>304</v>
      </c>
    </row>
    <row r="58">
      <c r="A58" s="32" t="s">
        <v>122</v>
      </c>
      <c r="B58" s="33" t="s">
        <v>123</v>
      </c>
      <c r="C58" s="34" t="s">
        <v>304</v>
      </c>
    </row>
    <row r="59">
      <c r="A59" s="32" t="s">
        <v>253</v>
      </c>
      <c r="B59" s="33" t="s">
        <v>254</v>
      </c>
      <c r="C59" s="34" t="s">
        <v>304</v>
      </c>
    </row>
    <row r="60">
      <c r="A60" s="32" t="s">
        <v>190</v>
      </c>
      <c r="B60" s="33" t="s">
        <v>191</v>
      </c>
      <c r="C60" s="34" t="s">
        <v>304</v>
      </c>
    </row>
    <row r="61">
      <c r="A61" s="32" t="s">
        <v>188</v>
      </c>
      <c r="B61" s="33" t="s">
        <v>189</v>
      </c>
      <c r="C61" s="34" t="s">
        <v>304</v>
      </c>
    </row>
    <row r="62">
      <c r="A62" s="32" t="s">
        <v>291</v>
      </c>
      <c r="B62" s="33" t="s">
        <v>292</v>
      </c>
      <c r="C62" s="34" t="s">
        <v>304</v>
      </c>
    </row>
    <row r="63">
      <c r="A63" s="32" t="s">
        <v>103</v>
      </c>
      <c r="B63" s="33" t="s">
        <v>104</v>
      </c>
      <c r="C63" s="34" t="s">
        <v>304</v>
      </c>
    </row>
    <row r="64">
      <c r="A64" s="32" t="s">
        <v>153</v>
      </c>
      <c r="B64" s="33" t="s">
        <v>154</v>
      </c>
      <c r="C64" s="34" t="s">
        <v>304</v>
      </c>
    </row>
    <row r="65">
      <c r="A65" s="32" t="s">
        <v>135</v>
      </c>
      <c r="B65" s="33" t="s">
        <v>136</v>
      </c>
      <c r="C65" s="34" t="s">
        <v>304</v>
      </c>
    </row>
    <row r="66">
      <c r="A66" s="32" t="s">
        <v>243</v>
      </c>
      <c r="B66" s="33" t="s">
        <v>244</v>
      </c>
      <c r="C66" s="34" t="s">
        <v>304</v>
      </c>
    </row>
    <row r="67">
      <c r="A67" s="32" t="s">
        <v>131</v>
      </c>
      <c r="B67" s="33" t="s">
        <v>132</v>
      </c>
      <c r="C67" s="34" t="s">
        <v>304</v>
      </c>
    </row>
    <row r="68">
      <c r="A68" s="32" t="s">
        <v>200</v>
      </c>
      <c r="B68" s="33" t="s">
        <v>201</v>
      </c>
      <c r="C68" s="34" t="s">
        <v>304</v>
      </c>
    </row>
    <row r="69">
      <c r="A69" s="32" t="s">
        <v>225</v>
      </c>
      <c r="B69" s="33" t="s">
        <v>226</v>
      </c>
      <c r="C69" s="34" t="s">
        <v>304</v>
      </c>
    </row>
    <row r="70">
      <c r="A70" s="32" t="s">
        <v>129</v>
      </c>
      <c r="B70" s="33" t="s">
        <v>130</v>
      </c>
      <c r="C70" s="34" t="s">
        <v>304</v>
      </c>
    </row>
    <row r="71">
      <c r="A71" s="32" t="s">
        <v>299</v>
      </c>
      <c r="B71" s="33" t="s">
        <v>300</v>
      </c>
      <c r="C71" s="34" t="s">
        <v>304</v>
      </c>
    </row>
    <row r="72">
      <c r="A72" s="32" t="s">
        <v>255</v>
      </c>
      <c r="B72" s="33" t="s">
        <v>256</v>
      </c>
      <c r="C72" s="34" t="s">
        <v>304</v>
      </c>
    </row>
    <row r="73">
      <c r="A73" s="32" t="s">
        <v>295</v>
      </c>
      <c r="B73" s="33" t="s">
        <v>296</v>
      </c>
      <c r="C73" s="34" t="s">
        <v>304</v>
      </c>
    </row>
    <row r="74">
      <c r="A74" s="32" t="s">
        <v>110</v>
      </c>
      <c r="B74" s="33" t="s">
        <v>111</v>
      </c>
      <c r="C74" s="34" t="s">
        <v>304</v>
      </c>
    </row>
    <row r="75">
      <c r="A75" s="32" t="s">
        <v>239</v>
      </c>
      <c r="B75" s="33" t="s">
        <v>240</v>
      </c>
      <c r="C75" s="34" t="s">
        <v>304</v>
      </c>
    </row>
    <row r="76">
      <c r="A76" s="32" t="s">
        <v>267</v>
      </c>
      <c r="B76" s="33" t="s">
        <v>268</v>
      </c>
      <c r="C76" s="34" t="s">
        <v>304</v>
      </c>
    </row>
    <row r="77">
      <c r="A77" s="32" t="s">
        <v>147</v>
      </c>
      <c r="B77" s="33" t="s">
        <v>148</v>
      </c>
      <c r="C77" s="34" t="s">
        <v>304</v>
      </c>
    </row>
    <row r="78">
      <c r="A78" s="32" t="s">
        <v>233</v>
      </c>
      <c r="B78" s="33" t="s">
        <v>234</v>
      </c>
      <c r="C78" s="34" t="s">
        <v>304</v>
      </c>
    </row>
    <row r="79">
      <c r="A79" s="32" t="s">
        <v>157</v>
      </c>
      <c r="B79" s="33" t="s">
        <v>158</v>
      </c>
      <c r="C79" s="34" t="s">
        <v>304</v>
      </c>
    </row>
    <row r="80">
      <c r="A80" s="32" t="s">
        <v>212</v>
      </c>
      <c r="B80" s="33" t="s">
        <v>213</v>
      </c>
      <c r="C80" s="34" t="s">
        <v>304</v>
      </c>
    </row>
    <row r="81">
      <c r="A81" s="32" t="s">
        <v>149</v>
      </c>
      <c r="B81" s="33" t="s">
        <v>150</v>
      </c>
      <c r="C81" s="34" t="s">
        <v>304</v>
      </c>
    </row>
    <row r="82">
      <c r="A82" s="32" t="s">
        <v>194</v>
      </c>
      <c r="B82" s="33" t="s">
        <v>195</v>
      </c>
      <c r="C82" s="34" t="s">
        <v>304</v>
      </c>
    </row>
    <row r="83">
      <c r="A83" s="32" t="s">
        <v>223</v>
      </c>
      <c r="B83" s="33" t="s">
        <v>224</v>
      </c>
      <c r="C83" s="34" t="b">
        <v>1</v>
      </c>
      <c r="D83" s="5" t="s">
        <v>305</v>
      </c>
    </row>
    <row r="84">
      <c r="A84" s="32" t="s">
        <v>263</v>
      </c>
      <c r="B84" s="33" t="s">
        <v>264</v>
      </c>
      <c r="C84" s="34" t="b">
        <v>0</v>
      </c>
    </row>
    <row r="85">
      <c r="A85" s="32" t="s">
        <v>98</v>
      </c>
      <c r="B85" s="33" t="s">
        <v>99</v>
      </c>
      <c r="C85" s="34" t="b">
        <v>1</v>
      </c>
    </row>
    <row r="86">
      <c r="A86" s="32" t="s">
        <v>116</v>
      </c>
      <c r="B86" s="33" t="s">
        <v>117</v>
      </c>
      <c r="C86" s="34" t="b">
        <v>0</v>
      </c>
    </row>
    <row r="87">
      <c r="A87" s="32" t="s">
        <v>231</v>
      </c>
      <c r="B87" s="33" t="s">
        <v>232</v>
      </c>
      <c r="C87" s="34" t="b">
        <v>1</v>
      </c>
    </row>
    <row r="88">
      <c r="A88" s="32" t="s">
        <v>171</v>
      </c>
      <c r="B88" s="33" t="s">
        <v>172</v>
      </c>
      <c r="C88" s="34" t="b">
        <v>0</v>
      </c>
    </row>
    <row r="89">
      <c r="A89" s="32" t="s">
        <v>167</v>
      </c>
      <c r="B89" s="33" t="s">
        <v>168</v>
      </c>
      <c r="C89" s="34" t="b">
        <v>0</v>
      </c>
    </row>
    <row r="90">
      <c r="A90" s="32" t="s">
        <v>202</v>
      </c>
      <c r="B90" s="33" t="s">
        <v>203</v>
      </c>
      <c r="C90" s="34" t="b">
        <v>0</v>
      </c>
      <c r="D90" s="5" t="s">
        <v>306</v>
      </c>
    </row>
    <row r="91">
      <c r="A91" s="32" t="s">
        <v>289</v>
      </c>
      <c r="B91" s="33" t="s">
        <v>290</v>
      </c>
      <c r="C91" s="34" t="b">
        <v>0</v>
      </c>
      <c r="D91" s="5" t="s">
        <v>307</v>
      </c>
    </row>
    <row r="92">
      <c r="A92" s="32" t="s">
        <v>184</v>
      </c>
      <c r="B92" s="33" t="s">
        <v>185</v>
      </c>
      <c r="C92" s="34" t="b">
        <v>1</v>
      </c>
    </row>
    <row r="93">
      <c r="A93" s="32" t="s">
        <v>227</v>
      </c>
      <c r="B93" s="33" t="s">
        <v>228</v>
      </c>
      <c r="C93" s="34" t="b">
        <v>1</v>
      </c>
    </row>
    <row r="94">
      <c r="A94" s="32" t="s">
        <v>214</v>
      </c>
      <c r="B94" s="33" t="s">
        <v>215</v>
      </c>
      <c r="C94" s="34" t="b">
        <v>0</v>
      </c>
      <c r="D94" s="5" t="s">
        <v>308</v>
      </c>
    </row>
    <row r="95">
      <c r="A95" s="32" t="s">
        <v>297</v>
      </c>
      <c r="B95" s="33" t="s">
        <v>298</v>
      </c>
      <c r="C95" s="34" t="b">
        <v>1</v>
      </c>
    </row>
    <row r="96">
      <c r="A96" s="32" t="s">
        <v>277</v>
      </c>
      <c r="B96" s="33" t="s">
        <v>278</v>
      </c>
      <c r="C96" s="34" t="b">
        <v>1</v>
      </c>
    </row>
    <row r="97">
      <c r="A97" s="32" t="s">
        <v>198</v>
      </c>
      <c r="B97" s="33" t="s">
        <v>199</v>
      </c>
      <c r="C97" s="34" t="b">
        <v>0</v>
      </c>
      <c r="D97" s="5" t="s">
        <v>309</v>
      </c>
    </row>
    <row r="98">
      <c r="A98" s="32" t="s">
        <v>108</v>
      </c>
      <c r="B98" s="33" t="s">
        <v>109</v>
      </c>
      <c r="C98" s="34" t="b">
        <v>0</v>
      </c>
      <c r="D98" s="5" t="s">
        <v>310</v>
      </c>
    </row>
    <row r="99">
      <c r="A99" s="32" t="s">
        <v>165</v>
      </c>
      <c r="B99" s="33" t="s">
        <v>166</v>
      </c>
      <c r="C99" s="34" t="b">
        <v>0</v>
      </c>
      <c r="D99" s="5" t="s">
        <v>311</v>
      </c>
    </row>
    <row r="100">
      <c r="A100" s="32" t="s">
        <v>112</v>
      </c>
      <c r="B100" s="33" t="s">
        <v>113</v>
      </c>
      <c r="C100" s="34" t="b">
        <v>1</v>
      </c>
    </row>
    <row r="101">
      <c r="A101" s="32" t="s">
        <v>249</v>
      </c>
      <c r="B101" s="33" t="s">
        <v>250</v>
      </c>
      <c r="C101" s="34" t="b">
        <v>1</v>
      </c>
    </row>
  </sheetData>
  <dataValidations>
    <dataValidation type="list" allowBlank="1" showErrorMessage="1" sqref="C2:C101">
      <formula1>"TO DO,TRUE,FALSE,SKIP"</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60.63"/>
  </cols>
  <sheetData>
    <row r="1">
      <c r="A1" s="29" t="s">
        <v>90</v>
      </c>
      <c r="B1" s="30" t="s">
        <v>91</v>
      </c>
      <c r="C1" s="31" t="s">
        <v>92</v>
      </c>
      <c r="D1" s="23" t="s">
        <v>93</v>
      </c>
    </row>
    <row r="2">
      <c r="A2" s="32" t="s">
        <v>144</v>
      </c>
      <c r="B2" s="33" t="s">
        <v>145</v>
      </c>
      <c r="C2" s="34" t="s">
        <v>304</v>
      </c>
    </row>
    <row r="3">
      <c r="A3" s="32" t="s">
        <v>259</v>
      </c>
      <c r="B3" s="33" t="s">
        <v>260</v>
      </c>
      <c r="C3" s="34" t="s">
        <v>304</v>
      </c>
    </row>
    <row r="4">
      <c r="A4" s="32" t="s">
        <v>273</v>
      </c>
      <c r="B4" s="33" t="s">
        <v>274</v>
      </c>
      <c r="C4" s="34" t="s">
        <v>304</v>
      </c>
    </row>
    <row r="5">
      <c r="A5" s="32" t="s">
        <v>219</v>
      </c>
      <c r="B5" s="33" t="s">
        <v>220</v>
      </c>
      <c r="C5" s="34" t="s">
        <v>304</v>
      </c>
    </row>
    <row r="6">
      <c r="A6" s="32" t="s">
        <v>283</v>
      </c>
      <c r="B6" s="33" t="s">
        <v>284</v>
      </c>
      <c r="C6" s="34" t="s">
        <v>304</v>
      </c>
    </row>
    <row r="7">
      <c r="A7" s="32" t="s">
        <v>177</v>
      </c>
      <c r="B7" s="33" t="s">
        <v>178</v>
      </c>
      <c r="C7" s="34" t="s">
        <v>304</v>
      </c>
    </row>
    <row r="8">
      <c r="A8" s="32" t="s">
        <v>192</v>
      </c>
      <c r="B8" s="33" t="s">
        <v>193</v>
      </c>
      <c r="C8" s="34" t="s">
        <v>304</v>
      </c>
    </row>
    <row r="9">
      <c r="A9" s="32" t="s">
        <v>297</v>
      </c>
      <c r="B9" s="33" t="s">
        <v>298</v>
      </c>
      <c r="C9" s="34" t="s">
        <v>304</v>
      </c>
    </row>
    <row r="10">
      <c r="A10" s="32" t="s">
        <v>129</v>
      </c>
      <c r="B10" s="33" t="s">
        <v>130</v>
      </c>
      <c r="C10" s="34" t="s">
        <v>304</v>
      </c>
    </row>
    <row r="11">
      <c r="A11" s="32" t="s">
        <v>105</v>
      </c>
      <c r="B11" s="33" t="s">
        <v>106</v>
      </c>
      <c r="C11" s="34" t="s">
        <v>304</v>
      </c>
    </row>
    <row r="12">
      <c r="A12" s="32" t="s">
        <v>261</v>
      </c>
      <c r="B12" s="33" t="s">
        <v>262</v>
      </c>
      <c r="C12" s="34" t="s">
        <v>304</v>
      </c>
    </row>
    <row r="13">
      <c r="A13" s="32" t="s">
        <v>227</v>
      </c>
      <c r="B13" s="33" t="s">
        <v>228</v>
      </c>
      <c r="C13" s="34" t="s">
        <v>304</v>
      </c>
    </row>
    <row r="14">
      <c r="A14" s="32" t="s">
        <v>277</v>
      </c>
      <c r="B14" s="33" t="s">
        <v>278</v>
      </c>
      <c r="C14" s="34" t="s">
        <v>304</v>
      </c>
    </row>
    <row r="15">
      <c r="A15" s="32" t="s">
        <v>208</v>
      </c>
      <c r="B15" s="33" t="s">
        <v>209</v>
      </c>
      <c r="C15" s="34" t="s">
        <v>304</v>
      </c>
    </row>
    <row r="16">
      <c r="A16" s="32" t="s">
        <v>153</v>
      </c>
      <c r="B16" s="33" t="s">
        <v>154</v>
      </c>
      <c r="C16" s="34" t="s">
        <v>304</v>
      </c>
    </row>
    <row r="17">
      <c r="A17" s="32" t="s">
        <v>275</v>
      </c>
      <c r="B17" s="33" t="s">
        <v>276</v>
      </c>
      <c r="C17" s="34" t="s">
        <v>304</v>
      </c>
    </row>
    <row r="18">
      <c r="A18" s="32" t="s">
        <v>157</v>
      </c>
      <c r="B18" s="33" t="s">
        <v>158</v>
      </c>
      <c r="C18" s="34" t="s">
        <v>304</v>
      </c>
    </row>
    <row r="19">
      <c r="A19" s="32" t="s">
        <v>216</v>
      </c>
      <c r="B19" s="33" t="s">
        <v>217</v>
      </c>
      <c r="C19" s="34" t="s">
        <v>304</v>
      </c>
    </row>
    <row r="20">
      <c r="A20" s="32" t="s">
        <v>263</v>
      </c>
      <c r="B20" s="33" t="s">
        <v>264</v>
      </c>
      <c r="C20" s="34" t="s">
        <v>304</v>
      </c>
    </row>
    <row r="21">
      <c r="A21" s="32" t="s">
        <v>118</v>
      </c>
      <c r="B21" s="33" t="s">
        <v>119</v>
      </c>
      <c r="C21" s="34" t="s">
        <v>304</v>
      </c>
    </row>
    <row r="22">
      <c r="A22" s="32" t="s">
        <v>159</v>
      </c>
      <c r="B22" s="33" t="s">
        <v>160</v>
      </c>
      <c r="C22" s="34" t="s">
        <v>304</v>
      </c>
    </row>
    <row r="23">
      <c r="A23" s="32" t="s">
        <v>110</v>
      </c>
      <c r="B23" s="33" t="s">
        <v>111</v>
      </c>
      <c r="C23" s="34" t="s">
        <v>304</v>
      </c>
    </row>
    <row r="24">
      <c r="A24" s="32" t="s">
        <v>279</v>
      </c>
      <c r="B24" s="33" t="s">
        <v>280</v>
      </c>
      <c r="C24" s="34" t="s">
        <v>304</v>
      </c>
    </row>
    <row r="25">
      <c r="A25" s="32" t="s">
        <v>269</v>
      </c>
      <c r="B25" s="33" t="s">
        <v>270</v>
      </c>
      <c r="C25" s="34" t="s">
        <v>304</v>
      </c>
    </row>
    <row r="26">
      <c r="A26" s="32" t="s">
        <v>233</v>
      </c>
      <c r="B26" s="33" t="s">
        <v>234</v>
      </c>
      <c r="C26" s="34" t="s">
        <v>304</v>
      </c>
    </row>
    <row r="27">
      <c r="A27" s="32" t="s">
        <v>173</v>
      </c>
      <c r="B27" s="33" t="s">
        <v>174</v>
      </c>
      <c r="C27" s="34" t="s">
        <v>304</v>
      </c>
    </row>
    <row r="28">
      <c r="A28" s="32" t="s">
        <v>155</v>
      </c>
      <c r="B28" s="33" t="s">
        <v>156</v>
      </c>
      <c r="C28" s="34" t="s">
        <v>304</v>
      </c>
    </row>
    <row r="29">
      <c r="A29" s="32" t="s">
        <v>267</v>
      </c>
      <c r="B29" s="33" t="s">
        <v>268</v>
      </c>
      <c r="C29" s="34" t="s">
        <v>304</v>
      </c>
    </row>
    <row r="30">
      <c r="A30" s="32" t="s">
        <v>108</v>
      </c>
      <c r="B30" s="33" t="s">
        <v>109</v>
      </c>
      <c r="C30" s="34" t="s">
        <v>304</v>
      </c>
    </row>
    <row r="31">
      <c r="A31" s="32" t="s">
        <v>223</v>
      </c>
      <c r="B31" s="33" t="s">
        <v>224</v>
      </c>
      <c r="C31" s="34" t="s">
        <v>304</v>
      </c>
    </row>
    <row r="32">
      <c r="A32" s="32" t="s">
        <v>251</v>
      </c>
      <c r="B32" s="33" t="s">
        <v>252</v>
      </c>
      <c r="C32" s="34" t="s">
        <v>304</v>
      </c>
    </row>
    <row r="33">
      <c r="A33" s="32" t="s">
        <v>120</v>
      </c>
      <c r="B33" s="33" t="s">
        <v>121</v>
      </c>
      <c r="C33" s="34" t="s">
        <v>304</v>
      </c>
    </row>
    <row r="34">
      <c r="A34" s="32" t="s">
        <v>253</v>
      </c>
      <c r="B34" s="33" t="s">
        <v>254</v>
      </c>
      <c r="C34" s="34" t="s">
        <v>304</v>
      </c>
    </row>
    <row r="35">
      <c r="A35" s="32" t="s">
        <v>247</v>
      </c>
      <c r="B35" s="33" t="s">
        <v>248</v>
      </c>
      <c r="C35" s="34" t="s">
        <v>304</v>
      </c>
    </row>
    <row r="36">
      <c r="A36" s="32" t="s">
        <v>214</v>
      </c>
      <c r="B36" s="33" t="s">
        <v>215</v>
      </c>
      <c r="C36" s="34" t="s">
        <v>304</v>
      </c>
    </row>
    <row r="37">
      <c r="A37" s="32" t="s">
        <v>149</v>
      </c>
      <c r="B37" s="33" t="s">
        <v>150</v>
      </c>
      <c r="C37" s="34" t="s">
        <v>304</v>
      </c>
    </row>
    <row r="38">
      <c r="A38" s="32" t="s">
        <v>255</v>
      </c>
      <c r="B38" s="33" t="s">
        <v>256</v>
      </c>
      <c r="C38" s="34" t="s">
        <v>304</v>
      </c>
    </row>
    <row r="39">
      <c r="A39" s="32" t="s">
        <v>190</v>
      </c>
      <c r="B39" s="33" t="s">
        <v>191</v>
      </c>
      <c r="C39" s="34" t="s">
        <v>304</v>
      </c>
    </row>
    <row r="40">
      <c r="A40" s="32" t="s">
        <v>212</v>
      </c>
      <c r="B40" s="33" t="s">
        <v>213</v>
      </c>
      <c r="C40" s="34" t="s">
        <v>304</v>
      </c>
    </row>
    <row r="41">
      <c r="A41" s="32" t="s">
        <v>133</v>
      </c>
      <c r="B41" s="33" t="s">
        <v>134</v>
      </c>
      <c r="C41" s="34" t="s">
        <v>304</v>
      </c>
    </row>
    <row r="42">
      <c r="A42" s="32" t="s">
        <v>186</v>
      </c>
      <c r="B42" s="33" t="s">
        <v>187</v>
      </c>
      <c r="C42" s="34" t="s">
        <v>304</v>
      </c>
    </row>
    <row r="43">
      <c r="A43" s="32" t="s">
        <v>98</v>
      </c>
      <c r="B43" s="33" t="s">
        <v>99</v>
      </c>
      <c r="C43" s="34" t="s">
        <v>304</v>
      </c>
    </row>
    <row r="44">
      <c r="A44" s="32" t="s">
        <v>188</v>
      </c>
      <c r="B44" s="33" t="s">
        <v>189</v>
      </c>
      <c r="C44" s="34" t="s">
        <v>304</v>
      </c>
    </row>
    <row r="45">
      <c r="A45" s="32" t="s">
        <v>94</v>
      </c>
      <c r="B45" s="33" t="s">
        <v>95</v>
      </c>
      <c r="C45" s="34" t="s">
        <v>304</v>
      </c>
    </row>
    <row r="46">
      <c r="A46" s="32" t="s">
        <v>179</v>
      </c>
      <c r="B46" s="33" t="s">
        <v>180</v>
      </c>
      <c r="C46" s="34" t="s">
        <v>304</v>
      </c>
    </row>
    <row r="47">
      <c r="A47" s="32" t="s">
        <v>237</v>
      </c>
      <c r="B47" s="33" t="s">
        <v>238</v>
      </c>
      <c r="C47" s="34" t="s">
        <v>304</v>
      </c>
    </row>
    <row r="48">
      <c r="A48" s="32" t="s">
        <v>257</v>
      </c>
      <c r="B48" s="33" t="s">
        <v>258</v>
      </c>
      <c r="C48" s="34" t="s">
        <v>304</v>
      </c>
    </row>
    <row r="49">
      <c r="A49" s="32" t="s">
        <v>231</v>
      </c>
      <c r="B49" s="33" t="s">
        <v>232</v>
      </c>
      <c r="C49" s="34" t="s">
        <v>304</v>
      </c>
    </row>
    <row r="50">
      <c r="A50" s="32" t="s">
        <v>96</v>
      </c>
      <c r="B50" s="33" t="s">
        <v>97</v>
      </c>
      <c r="C50" s="34" t="s">
        <v>304</v>
      </c>
    </row>
    <row r="51">
      <c r="A51" s="32" t="s">
        <v>122</v>
      </c>
      <c r="B51" s="33" t="s">
        <v>123</v>
      </c>
      <c r="C51" s="34" t="s">
        <v>304</v>
      </c>
    </row>
    <row r="52">
      <c r="A52" s="32" t="s">
        <v>171</v>
      </c>
      <c r="B52" s="33" t="s">
        <v>172</v>
      </c>
      <c r="C52" s="34" t="s">
        <v>304</v>
      </c>
    </row>
    <row r="53">
      <c r="A53" s="32" t="s">
        <v>289</v>
      </c>
      <c r="B53" s="33" t="s">
        <v>290</v>
      </c>
      <c r="C53" s="34" t="s">
        <v>304</v>
      </c>
    </row>
    <row r="54">
      <c r="A54" s="32" t="s">
        <v>100</v>
      </c>
      <c r="B54" s="33" t="s">
        <v>101</v>
      </c>
      <c r="C54" s="34" t="s">
        <v>304</v>
      </c>
    </row>
    <row r="55">
      <c r="A55" s="32" t="s">
        <v>299</v>
      </c>
      <c r="B55" s="33" t="s">
        <v>300</v>
      </c>
      <c r="C55" s="34" t="s">
        <v>304</v>
      </c>
    </row>
    <row r="56">
      <c r="A56" s="32" t="s">
        <v>281</v>
      </c>
      <c r="B56" s="33" t="s">
        <v>282</v>
      </c>
      <c r="C56" s="34" t="s">
        <v>304</v>
      </c>
    </row>
    <row r="57">
      <c r="A57" s="32" t="s">
        <v>175</v>
      </c>
      <c r="B57" s="33" t="s">
        <v>176</v>
      </c>
      <c r="C57" s="34" t="s">
        <v>304</v>
      </c>
    </row>
    <row r="58">
      <c r="A58" s="32" t="s">
        <v>142</v>
      </c>
      <c r="B58" s="33" t="s">
        <v>143</v>
      </c>
      <c r="C58" s="34" t="s">
        <v>304</v>
      </c>
    </row>
    <row r="59">
      <c r="A59" s="32" t="s">
        <v>196</v>
      </c>
      <c r="B59" s="33" t="s">
        <v>197</v>
      </c>
      <c r="C59" s="34" t="s">
        <v>304</v>
      </c>
    </row>
    <row r="60">
      <c r="A60" s="32" t="s">
        <v>239</v>
      </c>
      <c r="B60" s="33" t="s">
        <v>240</v>
      </c>
      <c r="C60" s="34" t="s">
        <v>304</v>
      </c>
    </row>
    <row r="61">
      <c r="A61" s="32" t="s">
        <v>147</v>
      </c>
      <c r="B61" s="33" t="s">
        <v>148</v>
      </c>
      <c r="C61" s="34" t="s">
        <v>304</v>
      </c>
    </row>
    <row r="62">
      <c r="A62" s="32" t="s">
        <v>243</v>
      </c>
      <c r="B62" s="33" t="s">
        <v>244</v>
      </c>
      <c r="C62" s="34" t="s">
        <v>304</v>
      </c>
    </row>
    <row r="63">
      <c r="A63" s="32" t="s">
        <v>206</v>
      </c>
      <c r="B63" s="33" t="s">
        <v>207</v>
      </c>
      <c r="C63" s="34" t="s">
        <v>304</v>
      </c>
    </row>
    <row r="64">
      <c r="A64" s="32" t="s">
        <v>131</v>
      </c>
      <c r="B64" s="33" t="s">
        <v>132</v>
      </c>
      <c r="C64" s="34" t="s">
        <v>304</v>
      </c>
    </row>
    <row r="65">
      <c r="A65" s="32" t="s">
        <v>184</v>
      </c>
      <c r="B65" s="33" t="s">
        <v>185</v>
      </c>
      <c r="C65" s="34" t="s">
        <v>304</v>
      </c>
    </row>
    <row r="66">
      <c r="A66" s="32" t="s">
        <v>265</v>
      </c>
      <c r="B66" s="33" t="s">
        <v>266</v>
      </c>
      <c r="C66" s="34" t="s">
        <v>304</v>
      </c>
    </row>
    <row r="67">
      <c r="A67" s="32" t="s">
        <v>194</v>
      </c>
      <c r="B67" s="33" t="s">
        <v>195</v>
      </c>
      <c r="C67" s="34" t="s">
        <v>304</v>
      </c>
    </row>
    <row r="68">
      <c r="A68" s="32" t="s">
        <v>249</v>
      </c>
      <c r="B68" s="33" t="s">
        <v>250</v>
      </c>
      <c r="C68" s="34" t="s">
        <v>304</v>
      </c>
    </row>
    <row r="69">
      <c r="A69" s="32" t="s">
        <v>241</v>
      </c>
      <c r="B69" s="33" t="s">
        <v>242</v>
      </c>
      <c r="C69" s="34" t="s">
        <v>304</v>
      </c>
    </row>
    <row r="70">
      <c r="A70" s="32" t="s">
        <v>165</v>
      </c>
      <c r="B70" s="33" t="s">
        <v>166</v>
      </c>
      <c r="C70" s="34" t="s">
        <v>304</v>
      </c>
    </row>
    <row r="71">
      <c r="A71" s="32" t="s">
        <v>138</v>
      </c>
      <c r="B71" s="33" t="s">
        <v>139</v>
      </c>
      <c r="C71" s="34" t="s">
        <v>304</v>
      </c>
    </row>
    <row r="72">
      <c r="A72" s="32" t="s">
        <v>125</v>
      </c>
      <c r="B72" s="33" t="s">
        <v>126</v>
      </c>
      <c r="C72" s="34" t="s">
        <v>304</v>
      </c>
    </row>
    <row r="73">
      <c r="A73" s="32" t="s">
        <v>245</v>
      </c>
      <c r="B73" s="33" t="s">
        <v>246</v>
      </c>
      <c r="C73" s="34" t="s">
        <v>304</v>
      </c>
    </row>
    <row r="74">
      <c r="A74" s="32" t="s">
        <v>287</v>
      </c>
      <c r="B74" s="33" t="s">
        <v>288</v>
      </c>
      <c r="C74" s="34" t="s">
        <v>304</v>
      </c>
    </row>
    <row r="75">
      <c r="A75" s="32" t="s">
        <v>116</v>
      </c>
      <c r="B75" s="33" t="s">
        <v>117</v>
      </c>
      <c r="C75" s="34" t="s">
        <v>304</v>
      </c>
    </row>
    <row r="76">
      <c r="A76" s="32" t="s">
        <v>235</v>
      </c>
      <c r="B76" s="33" t="s">
        <v>236</v>
      </c>
      <c r="C76" s="34" t="s">
        <v>304</v>
      </c>
    </row>
    <row r="77">
      <c r="A77" s="32" t="s">
        <v>167</v>
      </c>
      <c r="B77" s="33" t="s">
        <v>168</v>
      </c>
      <c r="C77" s="34" t="s">
        <v>304</v>
      </c>
    </row>
    <row r="78">
      <c r="A78" s="32" t="s">
        <v>114</v>
      </c>
      <c r="B78" s="33" t="s">
        <v>115</v>
      </c>
      <c r="C78" s="34" t="s">
        <v>304</v>
      </c>
    </row>
    <row r="79">
      <c r="A79" s="32" t="s">
        <v>202</v>
      </c>
      <c r="B79" s="33" t="s">
        <v>203</v>
      </c>
      <c r="C79" s="34" t="s">
        <v>304</v>
      </c>
    </row>
    <row r="80">
      <c r="A80" s="32" t="s">
        <v>169</v>
      </c>
      <c r="B80" s="33" t="s">
        <v>170</v>
      </c>
      <c r="C80" s="34" t="s">
        <v>304</v>
      </c>
    </row>
    <row r="81">
      <c r="A81" s="32" t="s">
        <v>198</v>
      </c>
      <c r="B81" s="33" t="s">
        <v>199</v>
      </c>
      <c r="C81" s="34" t="s">
        <v>304</v>
      </c>
    </row>
    <row r="82">
      <c r="A82" s="32" t="s">
        <v>271</v>
      </c>
      <c r="B82" s="33" t="s">
        <v>272</v>
      </c>
      <c r="C82" s="34" t="s">
        <v>304</v>
      </c>
    </row>
    <row r="83">
      <c r="A83" s="32" t="s">
        <v>225</v>
      </c>
      <c r="B83" s="33" t="s">
        <v>226</v>
      </c>
      <c r="C83" s="34" t="s">
        <v>304</v>
      </c>
    </row>
    <row r="84">
      <c r="A84" s="32" t="s">
        <v>163</v>
      </c>
      <c r="B84" s="33" t="s">
        <v>164</v>
      </c>
      <c r="C84" s="34" t="s">
        <v>304</v>
      </c>
    </row>
    <row r="85">
      <c r="A85" s="32" t="s">
        <v>285</v>
      </c>
      <c r="B85" s="33" t="s">
        <v>286</v>
      </c>
      <c r="C85" s="34" t="s">
        <v>304</v>
      </c>
    </row>
    <row r="86">
      <c r="A86" s="32" t="s">
        <v>221</v>
      </c>
      <c r="B86" s="33" t="s">
        <v>222</v>
      </c>
      <c r="C86" s="34" t="s">
        <v>304</v>
      </c>
    </row>
    <row r="87">
      <c r="A87" s="32" t="s">
        <v>200</v>
      </c>
      <c r="B87" s="33" t="s">
        <v>201</v>
      </c>
      <c r="C87" s="34" t="s">
        <v>304</v>
      </c>
    </row>
    <row r="88">
      <c r="A88" s="32" t="s">
        <v>103</v>
      </c>
      <c r="B88" s="33" t="s">
        <v>104</v>
      </c>
      <c r="C88" s="34" t="s">
        <v>304</v>
      </c>
    </row>
    <row r="89">
      <c r="A89" s="32" t="s">
        <v>112</v>
      </c>
      <c r="B89" s="33" t="s">
        <v>113</v>
      </c>
      <c r="C89" s="34" t="s">
        <v>304</v>
      </c>
    </row>
    <row r="90">
      <c r="A90" s="32" t="s">
        <v>161</v>
      </c>
      <c r="B90" s="33" t="s">
        <v>162</v>
      </c>
      <c r="C90" s="34" t="s">
        <v>304</v>
      </c>
    </row>
    <row r="91">
      <c r="A91" s="32" t="s">
        <v>135</v>
      </c>
      <c r="B91" s="33" t="s">
        <v>136</v>
      </c>
      <c r="C91" s="34" t="s">
        <v>304</v>
      </c>
    </row>
    <row r="92">
      <c r="A92" s="32" t="s">
        <v>295</v>
      </c>
      <c r="B92" s="33" t="s">
        <v>296</v>
      </c>
      <c r="C92" s="34" t="s">
        <v>304</v>
      </c>
    </row>
    <row r="93">
      <c r="A93" s="32" t="s">
        <v>127</v>
      </c>
      <c r="B93" s="33" t="s">
        <v>128</v>
      </c>
      <c r="C93" s="34" t="s">
        <v>304</v>
      </c>
    </row>
    <row r="94">
      <c r="A94" s="32" t="s">
        <v>293</v>
      </c>
      <c r="B94" s="33" t="s">
        <v>294</v>
      </c>
      <c r="C94" s="34" t="s">
        <v>304</v>
      </c>
    </row>
    <row r="95">
      <c r="A95" s="32" t="s">
        <v>229</v>
      </c>
      <c r="B95" s="33" t="s">
        <v>230</v>
      </c>
      <c r="C95" s="34" t="s">
        <v>304</v>
      </c>
    </row>
    <row r="96">
      <c r="A96" s="32" t="s">
        <v>291</v>
      </c>
      <c r="B96" s="33" t="s">
        <v>292</v>
      </c>
      <c r="C96" s="34" t="s">
        <v>304</v>
      </c>
    </row>
    <row r="97">
      <c r="A97" s="32" t="s">
        <v>204</v>
      </c>
      <c r="B97" s="33" t="s">
        <v>205</v>
      </c>
      <c r="C97" s="34" t="s">
        <v>304</v>
      </c>
    </row>
    <row r="98">
      <c r="A98" s="32" t="s">
        <v>210</v>
      </c>
      <c r="B98" s="33" t="s">
        <v>211</v>
      </c>
      <c r="C98" s="34" t="s">
        <v>304</v>
      </c>
    </row>
    <row r="99">
      <c r="A99" s="32" t="s">
        <v>151</v>
      </c>
      <c r="B99" s="33" t="s">
        <v>152</v>
      </c>
      <c r="C99" s="34" t="s">
        <v>304</v>
      </c>
    </row>
    <row r="100">
      <c r="A100" s="32" t="s">
        <v>182</v>
      </c>
      <c r="B100" s="33" t="s">
        <v>183</v>
      </c>
      <c r="C100" s="34" t="s">
        <v>304</v>
      </c>
    </row>
    <row r="101">
      <c r="A101" s="32" t="s">
        <v>140</v>
      </c>
      <c r="B101" s="33" t="s">
        <v>141</v>
      </c>
      <c r="C101" s="34" t="s">
        <v>304</v>
      </c>
    </row>
  </sheetData>
  <dataValidations>
    <dataValidation type="list" allowBlank="1" showErrorMessage="1" sqref="C2:C101">
      <formula1>"TO DO,TRUE,FALSE,SKIP"</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0.75"/>
    <col customWidth="1" min="2" max="2" width="102.5"/>
    <col customWidth="1" min="3" max="5" width="19.75"/>
  </cols>
  <sheetData>
    <row r="1">
      <c r="A1" s="29" t="s">
        <v>90</v>
      </c>
      <c r="B1" s="30" t="s">
        <v>91</v>
      </c>
      <c r="C1" s="31" t="s">
        <v>92</v>
      </c>
      <c r="D1" s="23" t="s">
        <v>93</v>
      </c>
      <c r="E1" s="35" t="s">
        <v>312</v>
      </c>
    </row>
    <row r="2">
      <c r="A2" s="32" t="s">
        <v>167</v>
      </c>
      <c r="B2" s="33" t="s">
        <v>168</v>
      </c>
      <c r="C2" s="34" t="b">
        <v>0</v>
      </c>
      <c r="E2" s="24" t="b">
        <v>0</v>
      </c>
    </row>
    <row r="3">
      <c r="A3" s="32" t="s">
        <v>291</v>
      </c>
      <c r="B3" s="33" t="s">
        <v>292</v>
      </c>
      <c r="C3" s="34" t="b">
        <v>1</v>
      </c>
      <c r="E3" s="24" t="b">
        <v>0</v>
      </c>
    </row>
    <row r="4">
      <c r="A4" s="32" t="s">
        <v>120</v>
      </c>
      <c r="B4" s="33" t="s">
        <v>121</v>
      </c>
      <c r="C4" s="34" t="b">
        <v>0</v>
      </c>
      <c r="E4" s="24" t="b">
        <v>0</v>
      </c>
    </row>
    <row r="5">
      <c r="A5" s="32" t="s">
        <v>285</v>
      </c>
      <c r="B5" s="33" t="s">
        <v>286</v>
      </c>
      <c r="C5" s="34" t="b">
        <v>1</v>
      </c>
      <c r="E5" s="24" t="b">
        <v>0</v>
      </c>
    </row>
    <row r="6">
      <c r="A6" s="32" t="s">
        <v>186</v>
      </c>
      <c r="B6" s="33" t="s">
        <v>187</v>
      </c>
      <c r="C6" s="34" t="b">
        <v>1</v>
      </c>
      <c r="E6" s="24" t="b">
        <v>0</v>
      </c>
    </row>
    <row r="7">
      <c r="A7" s="32" t="s">
        <v>273</v>
      </c>
      <c r="B7" s="33" t="s">
        <v>274</v>
      </c>
      <c r="C7" s="34" t="b">
        <v>1</v>
      </c>
      <c r="E7" s="24" t="b">
        <v>0</v>
      </c>
    </row>
    <row r="8">
      <c r="A8" s="32" t="s">
        <v>161</v>
      </c>
      <c r="B8" s="33" t="s">
        <v>162</v>
      </c>
      <c r="C8" s="34" t="b">
        <v>1</v>
      </c>
      <c r="E8" s="24" t="b">
        <v>0</v>
      </c>
    </row>
    <row r="9">
      <c r="A9" s="32" t="s">
        <v>283</v>
      </c>
      <c r="B9" s="33" t="s">
        <v>284</v>
      </c>
      <c r="C9" s="34" t="b">
        <v>1</v>
      </c>
      <c r="E9" s="24" t="b">
        <v>0</v>
      </c>
    </row>
    <row r="10">
      <c r="A10" s="32" t="s">
        <v>114</v>
      </c>
      <c r="B10" s="33" t="s">
        <v>115</v>
      </c>
      <c r="C10" s="34" t="b">
        <v>0</v>
      </c>
      <c r="E10" s="24" t="b">
        <v>0</v>
      </c>
    </row>
    <row r="11">
      <c r="A11" s="32" t="s">
        <v>127</v>
      </c>
      <c r="B11" s="33" t="s">
        <v>128</v>
      </c>
      <c r="C11" s="34" t="b">
        <v>0</v>
      </c>
      <c r="E11" s="24" t="b">
        <v>0</v>
      </c>
    </row>
    <row r="12">
      <c r="A12" s="32" t="s">
        <v>133</v>
      </c>
      <c r="B12" s="33" t="s">
        <v>134</v>
      </c>
      <c r="C12" s="34" t="b">
        <v>0</v>
      </c>
      <c r="E12" s="24" t="b">
        <v>0</v>
      </c>
    </row>
    <row r="13">
      <c r="A13" s="32" t="s">
        <v>219</v>
      </c>
      <c r="B13" s="33" t="s">
        <v>220</v>
      </c>
      <c r="C13" s="34" t="b">
        <v>0</v>
      </c>
      <c r="E13" s="24" t="b">
        <v>0</v>
      </c>
    </row>
    <row r="14">
      <c r="A14" s="32" t="s">
        <v>138</v>
      </c>
      <c r="B14" s="33" t="s">
        <v>139</v>
      </c>
      <c r="C14" s="34" t="b">
        <v>1</v>
      </c>
      <c r="E14" s="24" t="b">
        <v>0</v>
      </c>
    </row>
    <row r="15">
      <c r="A15" s="32" t="s">
        <v>159</v>
      </c>
      <c r="B15" s="33" t="s">
        <v>160</v>
      </c>
      <c r="C15" s="34" t="b">
        <v>1</v>
      </c>
      <c r="E15" s="24" t="b">
        <v>0</v>
      </c>
    </row>
    <row r="16">
      <c r="A16" s="32" t="s">
        <v>261</v>
      </c>
      <c r="B16" s="33" t="s">
        <v>262</v>
      </c>
      <c r="C16" s="34" t="b">
        <v>0</v>
      </c>
      <c r="E16" s="24" t="b">
        <v>0</v>
      </c>
    </row>
    <row r="17">
      <c r="A17" s="32" t="s">
        <v>192</v>
      </c>
      <c r="B17" s="33" t="s">
        <v>193</v>
      </c>
      <c r="C17" s="34" t="b">
        <v>1</v>
      </c>
      <c r="E17" s="24" t="b">
        <v>0</v>
      </c>
    </row>
    <row r="18">
      <c r="A18" s="32" t="s">
        <v>98</v>
      </c>
      <c r="B18" s="33" t="s">
        <v>99</v>
      </c>
      <c r="C18" s="34" t="b">
        <v>1</v>
      </c>
      <c r="E18" s="24" t="b">
        <v>0</v>
      </c>
    </row>
    <row r="19">
      <c r="A19" s="32" t="s">
        <v>237</v>
      </c>
      <c r="B19" s="33" t="s">
        <v>238</v>
      </c>
      <c r="C19" s="34" t="b">
        <v>1</v>
      </c>
      <c r="E19" s="24" t="b">
        <v>0</v>
      </c>
    </row>
    <row r="20">
      <c r="A20" s="32" t="s">
        <v>177</v>
      </c>
      <c r="B20" s="33" t="s">
        <v>178</v>
      </c>
      <c r="C20" s="34" t="b">
        <v>0</v>
      </c>
      <c r="E20" s="24" t="b">
        <v>0</v>
      </c>
    </row>
    <row r="21">
      <c r="A21" s="32" t="s">
        <v>295</v>
      </c>
      <c r="B21" s="33" t="s">
        <v>296</v>
      </c>
      <c r="C21" s="34" t="b">
        <v>1</v>
      </c>
      <c r="E21" s="24" t="b">
        <v>0</v>
      </c>
    </row>
    <row r="22">
      <c r="A22" s="32" t="s">
        <v>169</v>
      </c>
      <c r="B22" s="33" t="s">
        <v>170</v>
      </c>
      <c r="C22" s="34" t="b">
        <v>1</v>
      </c>
      <c r="E22" s="24" t="b">
        <v>0</v>
      </c>
    </row>
    <row r="23">
      <c r="A23" s="32" t="s">
        <v>221</v>
      </c>
      <c r="B23" s="33" t="s">
        <v>222</v>
      </c>
      <c r="C23" s="34" t="b">
        <v>1</v>
      </c>
      <c r="E23" s="24" t="b">
        <v>0</v>
      </c>
    </row>
    <row r="24">
      <c r="A24" s="32" t="s">
        <v>208</v>
      </c>
      <c r="B24" s="36" t="s">
        <v>209</v>
      </c>
      <c r="C24" s="34" t="b">
        <v>1</v>
      </c>
      <c r="E24" s="24" t="b">
        <v>0</v>
      </c>
    </row>
    <row r="25">
      <c r="A25" s="32" t="s">
        <v>239</v>
      </c>
      <c r="B25" s="33" t="s">
        <v>240</v>
      </c>
      <c r="C25" s="34" t="b">
        <v>1</v>
      </c>
      <c r="E25" s="24" t="b">
        <v>0</v>
      </c>
    </row>
    <row r="26">
      <c r="A26" s="32" t="s">
        <v>171</v>
      </c>
      <c r="B26" s="33" t="s">
        <v>172</v>
      </c>
      <c r="C26" s="34" t="b">
        <v>1</v>
      </c>
      <c r="E26" s="24" t="b">
        <v>0</v>
      </c>
    </row>
    <row r="27">
      <c r="A27" s="32" t="s">
        <v>255</v>
      </c>
      <c r="B27" s="33" t="s">
        <v>256</v>
      </c>
      <c r="C27" s="34" t="b">
        <v>1</v>
      </c>
      <c r="E27" s="24" t="b">
        <v>0</v>
      </c>
    </row>
    <row r="28">
      <c r="A28" s="32" t="s">
        <v>247</v>
      </c>
      <c r="B28" s="33" t="s">
        <v>248</v>
      </c>
      <c r="C28" s="34" t="b">
        <v>0</v>
      </c>
      <c r="E28" s="24" t="b">
        <v>0</v>
      </c>
    </row>
    <row r="29">
      <c r="A29" s="32" t="s">
        <v>253</v>
      </c>
      <c r="B29" s="36" t="s">
        <v>254</v>
      </c>
      <c r="C29" s="34" t="b">
        <v>1</v>
      </c>
      <c r="E29" s="24" t="b">
        <v>0</v>
      </c>
    </row>
    <row r="30">
      <c r="A30" s="32" t="s">
        <v>129</v>
      </c>
      <c r="B30" s="33" t="s">
        <v>130</v>
      </c>
      <c r="C30" s="34" t="b">
        <v>0</v>
      </c>
      <c r="E30" s="24" t="b">
        <v>0</v>
      </c>
    </row>
    <row r="31">
      <c r="A31" s="32" t="s">
        <v>279</v>
      </c>
      <c r="B31" s="36" t="s">
        <v>280</v>
      </c>
      <c r="C31" s="34" t="b">
        <v>1</v>
      </c>
      <c r="E31" s="24" t="b">
        <v>0</v>
      </c>
    </row>
    <row r="32">
      <c r="A32" s="32" t="s">
        <v>214</v>
      </c>
      <c r="B32" s="33" t="s">
        <v>215</v>
      </c>
      <c r="C32" s="34" t="b">
        <v>0</v>
      </c>
      <c r="E32" s="24" t="b">
        <v>0</v>
      </c>
    </row>
    <row r="33">
      <c r="A33" s="32" t="s">
        <v>94</v>
      </c>
      <c r="B33" s="33" t="s">
        <v>95</v>
      </c>
      <c r="C33" s="34" t="b">
        <v>1</v>
      </c>
      <c r="E33" s="24" t="b">
        <v>0</v>
      </c>
    </row>
    <row r="34">
      <c r="A34" s="32" t="s">
        <v>245</v>
      </c>
      <c r="B34" s="33" t="s">
        <v>246</v>
      </c>
      <c r="C34" s="34" t="b">
        <v>1</v>
      </c>
      <c r="E34" s="24" t="b">
        <v>0</v>
      </c>
    </row>
    <row r="35">
      <c r="A35" s="32" t="s">
        <v>96</v>
      </c>
      <c r="B35" s="37" t="s">
        <v>313</v>
      </c>
      <c r="C35" s="34" t="b">
        <v>0</v>
      </c>
      <c r="E35" s="24" t="b">
        <v>0</v>
      </c>
    </row>
    <row r="36">
      <c r="A36" s="32" t="s">
        <v>118</v>
      </c>
      <c r="B36" s="33" t="s">
        <v>119</v>
      </c>
      <c r="C36" s="34" t="b">
        <v>0</v>
      </c>
      <c r="E36" s="24" t="b">
        <v>0</v>
      </c>
    </row>
    <row r="37">
      <c r="A37" s="32" t="s">
        <v>142</v>
      </c>
      <c r="B37" s="33" t="s">
        <v>143</v>
      </c>
      <c r="C37" s="34" t="b">
        <v>1</v>
      </c>
      <c r="E37" s="24" t="b">
        <v>0</v>
      </c>
    </row>
    <row r="38">
      <c r="A38" s="32" t="s">
        <v>179</v>
      </c>
      <c r="B38" s="33" t="s">
        <v>180</v>
      </c>
      <c r="C38" s="34" t="b">
        <v>1</v>
      </c>
      <c r="E38" s="24" t="b">
        <v>0</v>
      </c>
    </row>
    <row r="39">
      <c r="A39" s="32" t="s">
        <v>259</v>
      </c>
      <c r="B39" s="33" t="s">
        <v>260</v>
      </c>
      <c r="C39" s="34" t="b">
        <v>0</v>
      </c>
      <c r="E39" s="24" t="b">
        <v>0</v>
      </c>
    </row>
    <row r="40">
      <c r="A40" s="32" t="s">
        <v>204</v>
      </c>
      <c r="B40" s="33" t="s">
        <v>205</v>
      </c>
      <c r="C40" s="34" t="b">
        <v>0</v>
      </c>
      <c r="E40" s="24" t="b">
        <v>0</v>
      </c>
    </row>
    <row r="41">
      <c r="A41" s="32" t="s">
        <v>140</v>
      </c>
      <c r="B41" s="33" t="s">
        <v>141</v>
      </c>
      <c r="C41" s="34" t="b">
        <v>1</v>
      </c>
      <c r="E41" s="24" t="b">
        <v>0</v>
      </c>
    </row>
    <row r="42">
      <c r="A42" s="32" t="s">
        <v>269</v>
      </c>
      <c r="B42" s="33" t="s">
        <v>270</v>
      </c>
      <c r="C42" s="34" t="b">
        <v>0</v>
      </c>
      <c r="E42" s="24" t="b">
        <v>0</v>
      </c>
    </row>
    <row r="43">
      <c r="A43" s="32" t="s">
        <v>299</v>
      </c>
      <c r="B43" s="33" t="s">
        <v>300</v>
      </c>
      <c r="C43" s="34" t="b">
        <v>1</v>
      </c>
      <c r="E43" s="24" t="b">
        <v>0</v>
      </c>
    </row>
    <row r="44">
      <c r="A44" s="32" t="s">
        <v>231</v>
      </c>
      <c r="B44" s="33" t="s">
        <v>232</v>
      </c>
      <c r="C44" s="34" t="b">
        <v>1</v>
      </c>
      <c r="E44" s="24" t="b">
        <v>0</v>
      </c>
    </row>
    <row r="45">
      <c r="A45" s="32" t="s">
        <v>212</v>
      </c>
      <c r="B45" s="33" t="s">
        <v>213</v>
      </c>
      <c r="C45" s="34" t="b">
        <v>1</v>
      </c>
      <c r="E45" s="24" t="b">
        <v>0</v>
      </c>
    </row>
    <row r="46">
      <c r="A46" s="32" t="s">
        <v>267</v>
      </c>
      <c r="B46" s="33" t="s">
        <v>268</v>
      </c>
      <c r="C46" s="34" t="b">
        <v>0</v>
      </c>
      <c r="E46" s="24" t="b">
        <v>0</v>
      </c>
    </row>
    <row r="47">
      <c r="A47" s="32" t="s">
        <v>173</v>
      </c>
      <c r="B47" s="33" t="s">
        <v>174</v>
      </c>
      <c r="C47" s="34" t="b">
        <v>0</v>
      </c>
      <c r="E47" s="24" t="b">
        <v>0</v>
      </c>
    </row>
    <row r="48">
      <c r="A48" s="32" t="s">
        <v>122</v>
      </c>
      <c r="B48" s="33" t="s">
        <v>123</v>
      </c>
      <c r="C48" s="34" t="b">
        <v>1</v>
      </c>
      <c r="E48" s="24" t="b">
        <v>0</v>
      </c>
    </row>
    <row r="49">
      <c r="A49" s="32" t="s">
        <v>194</v>
      </c>
      <c r="B49" s="33" t="s">
        <v>195</v>
      </c>
      <c r="C49" s="34" t="b">
        <v>0</v>
      </c>
      <c r="E49" s="24" t="b">
        <v>0</v>
      </c>
    </row>
    <row r="50">
      <c r="A50" s="32" t="s">
        <v>151</v>
      </c>
      <c r="B50" s="33" t="s">
        <v>152</v>
      </c>
      <c r="C50" s="34" t="b">
        <v>1</v>
      </c>
      <c r="E50" s="24" t="b">
        <v>0</v>
      </c>
    </row>
    <row r="51">
      <c r="A51" s="32" t="s">
        <v>206</v>
      </c>
      <c r="B51" s="33" t="s">
        <v>207</v>
      </c>
      <c r="C51" s="34" t="b">
        <v>1</v>
      </c>
      <c r="E51" s="24" t="b">
        <v>0</v>
      </c>
    </row>
    <row r="52">
      <c r="A52" s="32" t="s">
        <v>196</v>
      </c>
      <c r="B52" s="33" t="s">
        <v>197</v>
      </c>
      <c r="C52" s="34" t="b">
        <v>1</v>
      </c>
      <c r="E52" s="24" t="b">
        <v>0</v>
      </c>
    </row>
    <row r="53">
      <c r="A53" s="32" t="s">
        <v>233</v>
      </c>
      <c r="B53" s="33" t="s">
        <v>234</v>
      </c>
      <c r="C53" s="34" t="b">
        <v>0</v>
      </c>
      <c r="E53" s="24" t="b">
        <v>0</v>
      </c>
    </row>
    <row r="54">
      <c r="A54" s="32" t="s">
        <v>149</v>
      </c>
      <c r="B54" s="33" t="s">
        <v>150</v>
      </c>
      <c r="C54" s="34" t="b">
        <v>1</v>
      </c>
      <c r="E54" s="24" t="b">
        <v>0</v>
      </c>
    </row>
    <row r="55">
      <c r="A55" s="32" t="s">
        <v>210</v>
      </c>
      <c r="B55" s="33" t="s">
        <v>211</v>
      </c>
      <c r="C55" s="34" t="b">
        <v>0</v>
      </c>
      <c r="E55" s="24" t="b">
        <v>0</v>
      </c>
    </row>
    <row r="56">
      <c r="A56" s="32" t="s">
        <v>157</v>
      </c>
      <c r="B56" s="33" t="s">
        <v>158</v>
      </c>
      <c r="C56" s="34" t="b">
        <v>0</v>
      </c>
      <c r="E56" s="24" t="b">
        <v>0</v>
      </c>
    </row>
    <row r="57">
      <c r="A57" s="32" t="s">
        <v>144</v>
      </c>
      <c r="B57" s="33" t="s">
        <v>145</v>
      </c>
      <c r="C57" s="34" t="b">
        <v>1</v>
      </c>
      <c r="D57" s="24"/>
      <c r="E57" s="24" t="b">
        <v>1</v>
      </c>
    </row>
    <row r="58">
      <c r="A58" s="32" t="s">
        <v>147</v>
      </c>
      <c r="B58" s="33" t="s">
        <v>148</v>
      </c>
      <c r="C58" s="34" t="b">
        <v>0</v>
      </c>
      <c r="D58" s="24"/>
      <c r="E58" s="24" t="b">
        <v>1</v>
      </c>
    </row>
    <row r="59">
      <c r="A59" s="32" t="s">
        <v>229</v>
      </c>
      <c r="B59" s="33" t="s">
        <v>230</v>
      </c>
      <c r="C59" s="34" t="b">
        <v>0</v>
      </c>
      <c r="D59" s="24"/>
      <c r="E59" s="24" t="b">
        <v>1</v>
      </c>
    </row>
    <row r="60">
      <c r="A60" s="32" t="s">
        <v>190</v>
      </c>
      <c r="B60" s="33" t="s">
        <v>191</v>
      </c>
      <c r="C60" s="34" t="b">
        <v>1</v>
      </c>
      <c r="D60" s="24"/>
      <c r="E60" s="24" t="b">
        <v>1</v>
      </c>
    </row>
    <row r="61">
      <c r="A61" s="32" t="s">
        <v>235</v>
      </c>
      <c r="B61" s="33" t="s">
        <v>236</v>
      </c>
      <c r="C61" s="34" t="s">
        <v>304</v>
      </c>
      <c r="E61" s="24" t="b">
        <v>0</v>
      </c>
    </row>
    <row r="62">
      <c r="A62" s="32" t="s">
        <v>131</v>
      </c>
      <c r="B62" s="33" t="s">
        <v>132</v>
      </c>
      <c r="C62" s="34" t="b">
        <v>0</v>
      </c>
      <c r="D62" s="24"/>
      <c r="E62" s="24" t="b">
        <v>1</v>
      </c>
    </row>
    <row r="63">
      <c r="A63" s="32" t="s">
        <v>188</v>
      </c>
      <c r="B63" s="33" t="s">
        <v>189</v>
      </c>
      <c r="C63" s="34" t="b">
        <v>1</v>
      </c>
      <c r="D63" s="24"/>
      <c r="E63" s="24" t="b">
        <v>1</v>
      </c>
    </row>
    <row r="64">
      <c r="A64" s="32" t="s">
        <v>153</v>
      </c>
      <c r="B64" s="33" t="s">
        <v>154</v>
      </c>
      <c r="C64" s="34" t="s">
        <v>304</v>
      </c>
      <c r="E64" s="24" t="b">
        <v>0</v>
      </c>
    </row>
    <row r="65">
      <c r="A65" s="32" t="s">
        <v>105</v>
      </c>
      <c r="B65" s="33" t="s">
        <v>106</v>
      </c>
      <c r="C65" s="34" t="b">
        <v>1</v>
      </c>
      <c r="D65" s="24"/>
      <c r="E65" s="24" t="b">
        <v>1</v>
      </c>
    </row>
    <row r="66">
      <c r="A66" s="32" t="s">
        <v>155</v>
      </c>
      <c r="B66" s="33" t="s">
        <v>156</v>
      </c>
      <c r="C66" s="34" t="s">
        <v>304</v>
      </c>
      <c r="E66" s="24" t="b">
        <v>0</v>
      </c>
    </row>
    <row r="67">
      <c r="A67" s="32" t="s">
        <v>125</v>
      </c>
      <c r="B67" s="33" t="s">
        <v>126</v>
      </c>
      <c r="C67" s="34" t="b">
        <v>1</v>
      </c>
      <c r="D67" s="24"/>
      <c r="E67" s="24" t="b">
        <v>1</v>
      </c>
    </row>
    <row r="68">
      <c r="A68" s="32" t="s">
        <v>249</v>
      </c>
      <c r="B68" s="33" t="s">
        <v>250</v>
      </c>
      <c r="C68" s="34" t="s">
        <v>304</v>
      </c>
      <c r="E68" s="24" t="b">
        <v>0</v>
      </c>
    </row>
    <row r="69">
      <c r="A69" s="32" t="s">
        <v>223</v>
      </c>
      <c r="B69" s="33" t="s">
        <v>224</v>
      </c>
      <c r="C69" s="34" t="s">
        <v>304</v>
      </c>
      <c r="E69" s="24" t="b">
        <v>0</v>
      </c>
    </row>
    <row r="70">
      <c r="A70" s="32" t="s">
        <v>175</v>
      </c>
      <c r="B70" s="33" t="s">
        <v>176</v>
      </c>
      <c r="C70" s="34" t="b">
        <v>0</v>
      </c>
      <c r="D70" s="24"/>
      <c r="E70" s="24" t="b">
        <v>1</v>
      </c>
    </row>
    <row r="71">
      <c r="A71" s="32" t="s">
        <v>281</v>
      </c>
      <c r="B71" s="33" t="s">
        <v>282</v>
      </c>
      <c r="C71" s="34" t="s">
        <v>304</v>
      </c>
      <c r="E71" s="24" t="b">
        <v>0</v>
      </c>
    </row>
    <row r="72">
      <c r="A72" s="32" t="s">
        <v>110</v>
      </c>
      <c r="B72" s="33" t="s">
        <v>111</v>
      </c>
      <c r="C72" s="34" t="s">
        <v>304</v>
      </c>
      <c r="E72" s="24" t="b">
        <v>0</v>
      </c>
    </row>
    <row r="73">
      <c r="A73" s="32" t="s">
        <v>112</v>
      </c>
      <c r="B73" s="33" t="s">
        <v>113</v>
      </c>
      <c r="C73" s="34" t="s">
        <v>304</v>
      </c>
      <c r="E73" s="24" t="b">
        <v>0</v>
      </c>
    </row>
    <row r="74">
      <c r="A74" s="32" t="s">
        <v>297</v>
      </c>
      <c r="B74" s="33" t="s">
        <v>298</v>
      </c>
      <c r="C74" s="34" t="s">
        <v>304</v>
      </c>
      <c r="E74" s="24" t="b">
        <v>0</v>
      </c>
    </row>
    <row r="75">
      <c r="A75" s="32" t="s">
        <v>108</v>
      </c>
      <c r="B75" s="33" t="s">
        <v>109</v>
      </c>
      <c r="C75" s="34" t="s">
        <v>304</v>
      </c>
      <c r="E75" s="24" t="b">
        <v>0</v>
      </c>
    </row>
    <row r="76">
      <c r="A76" s="32" t="s">
        <v>263</v>
      </c>
      <c r="B76" s="33" t="s">
        <v>264</v>
      </c>
      <c r="C76" s="34" t="s">
        <v>304</v>
      </c>
      <c r="E76" s="24" t="b">
        <v>0</v>
      </c>
    </row>
    <row r="77">
      <c r="A77" s="32" t="s">
        <v>227</v>
      </c>
      <c r="B77" s="33" t="s">
        <v>228</v>
      </c>
      <c r="C77" s="34" t="s">
        <v>304</v>
      </c>
      <c r="E77" s="24" t="b">
        <v>0</v>
      </c>
    </row>
    <row r="78">
      <c r="A78" s="32" t="s">
        <v>251</v>
      </c>
      <c r="B78" s="33" t="s">
        <v>252</v>
      </c>
      <c r="C78" s="34" t="s">
        <v>304</v>
      </c>
      <c r="E78" s="24" t="b">
        <v>0</v>
      </c>
    </row>
    <row r="79">
      <c r="A79" s="32" t="s">
        <v>289</v>
      </c>
      <c r="B79" s="33" t="s">
        <v>290</v>
      </c>
      <c r="C79" s="34" t="s">
        <v>304</v>
      </c>
      <c r="E79" s="24" t="b">
        <v>0</v>
      </c>
    </row>
    <row r="80">
      <c r="A80" s="32" t="s">
        <v>198</v>
      </c>
      <c r="B80" s="33" t="s">
        <v>199</v>
      </c>
      <c r="C80" s="34" t="s">
        <v>304</v>
      </c>
      <c r="E80" s="24" t="b">
        <v>0</v>
      </c>
    </row>
    <row r="81">
      <c r="A81" s="32" t="s">
        <v>293</v>
      </c>
      <c r="B81" s="33" t="s">
        <v>294</v>
      </c>
      <c r="C81" s="34" t="s">
        <v>304</v>
      </c>
      <c r="E81" s="24" t="b">
        <v>0</v>
      </c>
    </row>
    <row r="82">
      <c r="A82" s="32" t="s">
        <v>116</v>
      </c>
      <c r="B82" s="33" t="s">
        <v>117</v>
      </c>
      <c r="C82" s="34" t="s">
        <v>304</v>
      </c>
      <c r="E82" s="24" t="b">
        <v>0</v>
      </c>
    </row>
    <row r="83">
      <c r="A83" s="32" t="s">
        <v>163</v>
      </c>
      <c r="B83" s="33" t="s">
        <v>164</v>
      </c>
      <c r="C83" s="34" t="s">
        <v>304</v>
      </c>
      <c r="E83" s="24" t="b">
        <v>0</v>
      </c>
    </row>
    <row r="84">
      <c r="A84" s="32" t="s">
        <v>216</v>
      </c>
      <c r="B84" s="33" t="s">
        <v>217</v>
      </c>
      <c r="C84" s="34" t="b">
        <v>1</v>
      </c>
      <c r="D84" s="24"/>
      <c r="E84" s="24" t="b">
        <v>1</v>
      </c>
    </row>
    <row r="85">
      <c r="A85" s="32" t="s">
        <v>243</v>
      </c>
      <c r="B85" s="33" t="s">
        <v>244</v>
      </c>
      <c r="C85" s="34" t="b">
        <v>1</v>
      </c>
      <c r="D85" s="24"/>
      <c r="E85" s="24" t="b">
        <v>1</v>
      </c>
    </row>
    <row r="86">
      <c r="A86" s="32" t="s">
        <v>200</v>
      </c>
      <c r="B86" s="33" t="s">
        <v>201</v>
      </c>
      <c r="C86" s="34" t="b">
        <v>0</v>
      </c>
      <c r="D86" s="24"/>
      <c r="E86" s="24" t="b">
        <v>1</v>
      </c>
    </row>
    <row r="87">
      <c r="A87" s="32" t="s">
        <v>202</v>
      </c>
      <c r="B87" s="33" t="s">
        <v>203</v>
      </c>
      <c r="C87" s="34" t="s">
        <v>304</v>
      </c>
      <c r="E87" s="24" t="b">
        <v>0</v>
      </c>
    </row>
    <row r="88">
      <c r="A88" s="32" t="s">
        <v>271</v>
      </c>
      <c r="B88" s="33" t="s">
        <v>272</v>
      </c>
      <c r="C88" s="34" t="s">
        <v>304</v>
      </c>
      <c r="E88" s="24" t="b">
        <v>0</v>
      </c>
    </row>
    <row r="89">
      <c r="A89" s="32" t="s">
        <v>103</v>
      </c>
      <c r="B89" s="33" t="s">
        <v>104</v>
      </c>
      <c r="C89" s="34" t="s">
        <v>304</v>
      </c>
      <c r="E89" s="24" t="b">
        <v>0</v>
      </c>
    </row>
    <row r="90">
      <c r="A90" s="32" t="s">
        <v>265</v>
      </c>
      <c r="B90" s="33" t="s">
        <v>266</v>
      </c>
      <c r="C90" s="34" t="b">
        <v>0</v>
      </c>
      <c r="D90" s="24"/>
      <c r="E90" s="24" t="b">
        <v>1</v>
      </c>
    </row>
    <row r="91">
      <c r="A91" s="32" t="s">
        <v>184</v>
      </c>
      <c r="B91" s="33" t="s">
        <v>185</v>
      </c>
      <c r="C91" s="34" t="s">
        <v>304</v>
      </c>
      <c r="E91" s="24" t="b">
        <v>0</v>
      </c>
    </row>
    <row r="92">
      <c r="A92" s="32" t="s">
        <v>165</v>
      </c>
      <c r="B92" s="33" t="s">
        <v>166</v>
      </c>
      <c r="C92" s="34" t="s">
        <v>304</v>
      </c>
      <c r="E92" s="24" t="b">
        <v>0</v>
      </c>
    </row>
    <row r="93">
      <c r="A93" s="32" t="s">
        <v>277</v>
      </c>
      <c r="B93" s="33" t="s">
        <v>278</v>
      </c>
      <c r="C93" s="34" t="s">
        <v>304</v>
      </c>
      <c r="E93" s="24" t="b">
        <v>0</v>
      </c>
    </row>
    <row r="94">
      <c r="A94" s="32" t="s">
        <v>135</v>
      </c>
      <c r="B94" s="33" t="s">
        <v>136</v>
      </c>
      <c r="C94" s="34" t="s">
        <v>304</v>
      </c>
      <c r="E94" s="24" t="b">
        <v>0</v>
      </c>
    </row>
    <row r="95">
      <c r="A95" s="32" t="s">
        <v>225</v>
      </c>
      <c r="B95" s="33" t="s">
        <v>226</v>
      </c>
      <c r="C95" s="34" t="b">
        <v>1</v>
      </c>
      <c r="D95" s="24"/>
      <c r="E95" s="24" t="b">
        <v>1</v>
      </c>
    </row>
    <row r="96">
      <c r="A96" s="32" t="s">
        <v>182</v>
      </c>
      <c r="B96" s="33" t="s">
        <v>183</v>
      </c>
      <c r="C96" s="34" t="s">
        <v>304</v>
      </c>
      <c r="E96" s="24" t="b">
        <v>0</v>
      </c>
    </row>
    <row r="97">
      <c r="A97" s="32" t="s">
        <v>275</v>
      </c>
      <c r="B97" s="33" t="s">
        <v>276</v>
      </c>
      <c r="C97" s="34" t="b">
        <v>1</v>
      </c>
      <c r="D97" s="24"/>
      <c r="E97" s="24" t="b">
        <v>1</v>
      </c>
    </row>
    <row r="98">
      <c r="A98" s="32" t="s">
        <v>241</v>
      </c>
      <c r="B98" s="33" t="s">
        <v>242</v>
      </c>
      <c r="C98" s="34" t="s">
        <v>304</v>
      </c>
      <c r="E98" s="24" t="b">
        <v>0</v>
      </c>
    </row>
    <row r="99">
      <c r="A99" s="32" t="s">
        <v>287</v>
      </c>
      <c r="B99" s="33" t="s">
        <v>288</v>
      </c>
      <c r="C99" s="34" t="s">
        <v>304</v>
      </c>
      <c r="E99" s="24" t="b">
        <v>0</v>
      </c>
    </row>
    <row r="100">
      <c r="A100" s="32" t="s">
        <v>100</v>
      </c>
      <c r="B100" s="33" t="s">
        <v>101</v>
      </c>
      <c r="C100" s="34" t="b">
        <v>1</v>
      </c>
      <c r="D100" s="24"/>
      <c r="E100" s="24" t="b">
        <v>1</v>
      </c>
    </row>
    <row r="101">
      <c r="A101" s="32" t="s">
        <v>257</v>
      </c>
      <c r="B101" s="33" t="s">
        <v>258</v>
      </c>
      <c r="C101" s="34" t="s">
        <v>304</v>
      </c>
      <c r="E101" s="24" t="b">
        <v>0</v>
      </c>
    </row>
  </sheetData>
  <conditionalFormatting sqref="A2:E101">
    <cfRule type="expression" dxfId="0" priority="1">
      <formula>$E2</formula>
    </cfRule>
  </conditionalFormatting>
  <dataValidations>
    <dataValidation type="list" allowBlank="1" showErrorMessage="1" sqref="C2:C101">
      <formula1>"TO DO,TRUE,FALSE,SKIP"</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2.63"/>
    <col customWidth="1" min="3" max="3" width="19.75"/>
    <col customWidth="1" min="4" max="5" width="60.63"/>
  </cols>
  <sheetData>
    <row r="1">
      <c r="A1" s="29" t="s">
        <v>90</v>
      </c>
      <c r="B1" s="30" t="s">
        <v>91</v>
      </c>
      <c r="C1" s="31" t="s">
        <v>92</v>
      </c>
      <c r="D1" s="23" t="s">
        <v>93</v>
      </c>
      <c r="E1" s="35" t="s">
        <v>312</v>
      </c>
    </row>
    <row r="2">
      <c r="A2" s="32" t="s">
        <v>116</v>
      </c>
      <c r="B2" s="33" t="s">
        <v>117</v>
      </c>
      <c r="C2" s="34" t="b">
        <v>0</v>
      </c>
      <c r="E2" s="24" t="b">
        <v>0</v>
      </c>
    </row>
    <row r="3">
      <c r="A3" s="32" t="s">
        <v>233</v>
      </c>
      <c r="B3" s="33" t="s">
        <v>234</v>
      </c>
      <c r="C3" s="34" t="b">
        <v>0</v>
      </c>
      <c r="E3" s="24" t="b">
        <v>0</v>
      </c>
    </row>
    <row r="4">
      <c r="A4" s="32" t="s">
        <v>291</v>
      </c>
      <c r="B4" s="33" t="s">
        <v>292</v>
      </c>
      <c r="C4" s="34" t="b">
        <v>1</v>
      </c>
      <c r="E4" s="24" t="b">
        <v>0</v>
      </c>
    </row>
    <row r="5">
      <c r="A5" s="32" t="s">
        <v>235</v>
      </c>
      <c r="B5" s="33" t="s">
        <v>236</v>
      </c>
      <c r="C5" s="34" t="b">
        <v>1</v>
      </c>
      <c r="D5" s="5" t="s">
        <v>314</v>
      </c>
      <c r="E5" s="24" t="b">
        <v>1</v>
      </c>
    </row>
    <row r="6">
      <c r="A6" s="32" t="s">
        <v>247</v>
      </c>
      <c r="B6" s="33" t="s">
        <v>248</v>
      </c>
      <c r="C6" s="34" t="b">
        <v>0</v>
      </c>
      <c r="D6" s="5" t="s">
        <v>315</v>
      </c>
      <c r="E6" s="24" t="b">
        <v>0</v>
      </c>
    </row>
    <row r="7">
      <c r="A7" s="32" t="s">
        <v>186</v>
      </c>
      <c r="B7" s="33" t="s">
        <v>187</v>
      </c>
      <c r="C7" s="34" t="b">
        <v>1</v>
      </c>
      <c r="E7" s="24" t="b">
        <v>0</v>
      </c>
    </row>
    <row r="8">
      <c r="A8" s="32" t="s">
        <v>151</v>
      </c>
      <c r="B8" s="33" t="s">
        <v>152</v>
      </c>
      <c r="C8" s="34" t="b">
        <v>1</v>
      </c>
      <c r="E8" s="24" t="b">
        <v>0</v>
      </c>
    </row>
    <row r="9">
      <c r="A9" s="32" t="s">
        <v>259</v>
      </c>
      <c r="B9" s="33" t="s">
        <v>260</v>
      </c>
      <c r="C9" s="34" t="b">
        <v>0</v>
      </c>
      <c r="D9" s="5" t="s">
        <v>316</v>
      </c>
      <c r="E9" s="24" t="b">
        <v>1</v>
      </c>
    </row>
    <row r="10">
      <c r="A10" s="32" t="s">
        <v>198</v>
      </c>
      <c r="B10" s="33" t="s">
        <v>199</v>
      </c>
      <c r="C10" s="34" t="b">
        <v>0</v>
      </c>
      <c r="D10" s="5" t="s">
        <v>317</v>
      </c>
      <c r="E10" s="24" t="b">
        <v>1</v>
      </c>
    </row>
    <row r="11">
      <c r="A11" s="32" t="s">
        <v>122</v>
      </c>
      <c r="B11" s="33" t="s">
        <v>123</v>
      </c>
      <c r="C11" s="34" t="b">
        <v>1</v>
      </c>
      <c r="D11" s="24"/>
      <c r="E11" s="24" t="b">
        <v>1</v>
      </c>
    </row>
    <row r="12">
      <c r="A12" s="32" t="s">
        <v>255</v>
      </c>
      <c r="B12" s="33" t="s">
        <v>256</v>
      </c>
      <c r="C12" s="34" t="b">
        <v>1</v>
      </c>
      <c r="D12" s="24"/>
      <c r="E12" s="24" t="b">
        <v>1</v>
      </c>
    </row>
    <row r="13">
      <c r="A13" s="32" t="s">
        <v>190</v>
      </c>
      <c r="B13" s="33" t="s">
        <v>191</v>
      </c>
      <c r="C13" s="34" t="b">
        <v>1</v>
      </c>
      <c r="E13" s="24" t="b">
        <v>0</v>
      </c>
    </row>
    <row r="14">
      <c r="A14" s="32" t="s">
        <v>287</v>
      </c>
      <c r="B14" s="33" t="s">
        <v>288</v>
      </c>
      <c r="C14" s="34" t="b">
        <v>1</v>
      </c>
      <c r="D14" s="24"/>
      <c r="E14" s="24" t="b">
        <v>1</v>
      </c>
    </row>
    <row r="15">
      <c r="A15" s="32" t="s">
        <v>144</v>
      </c>
      <c r="B15" s="33" t="s">
        <v>145</v>
      </c>
      <c r="C15" s="34" t="b">
        <v>1</v>
      </c>
      <c r="D15" s="5" t="s">
        <v>318</v>
      </c>
      <c r="E15" s="24" t="b">
        <v>0</v>
      </c>
    </row>
    <row r="16">
      <c r="A16" s="32" t="s">
        <v>135</v>
      </c>
      <c r="B16" s="33" t="s">
        <v>136</v>
      </c>
      <c r="C16" s="34" t="b">
        <v>0</v>
      </c>
      <c r="E16" s="24" t="b">
        <v>0</v>
      </c>
    </row>
    <row r="17">
      <c r="A17" s="32" t="s">
        <v>112</v>
      </c>
      <c r="B17" s="33" t="s">
        <v>113</v>
      </c>
      <c r="C17" s="34" t="b">
        <v>1</v>
      </c>
      <c r="D17" s="24"/>
      <c r="E17" s="24" t="b">
        <v>1</v>
      </c>
    </row>
    <row r="18">
      <c r="A18" s="32" t="s">
        <v>273</v>
      </c>
      <c r="B18" s="33" t="s">
        <v>274</v>
      </c>
      <c r="C18" s="34" t="b">
        <v>1</v>
      </c>
      <c r="D18" s="5" t="s">
        <v>319</v>
      </c>
      <c r="E18" s="24" t="b">
        <v>1</v>
      </c>
    </row>
    <row r="19">
      <c r="A19" s="32" t="s">
        <v>179</v>
      </c>
      <c r="B19" s="33" t="s">
        <v>180</v>
      </c>
      <c r="C19" s="34" t="b">
        <v>1</v>
      </c>
      <c r="D19" s="5" t="s">
        <v>320</v>
      </c>
      <c r="E19" s="24" t="b">
        <v>1</v>
      </c>
    </row>
    <row r="20">
      <c r="A20" s="32" t="s">
        <v>299</v>
      </c>
      <c r="B20" s="33" t="s">
        <v>300</v>
      </c>
      <c r="C20" s="34" t="b">
        <v>1</v>
      </c>
      <c r="D20" s="24"/>
      <c r="E20" s="24" t="b">
        <v>1</v>
      </c>
    </row>
    <row r="21">
      <c r="A21" s="32" t="s">
        <v>208</v>
      </c>
      <c r="B21" s="33" t="s">
        <v>209</v>
      </c>
      <c r="C21" s="34" t="b">
        <v>1</v>
      </c>
      <c r="D21" s="5" t="s">
        <v>321</v>
      </c>
      <c r="E21" s="24" t="b">
        <v>0</v>
      </c>
    </row>
    <row r="22">
      <c r="A22" s="32" t="s">
        <v>285</v>
      </c>
      <c r="B22" s="33" t="s">
        <v>286</v>
      </c>
      <c r="C22" s="34" t="b">
        <v>0</v>
      </c>
      <c r="D22" s="24"/>
      <c r="E22" s="24" t="b">
        <v>1</v>
      </c>
    </row>
    <row r="23">
      <c r="A23" s="32" t="s">
        <v>239</v>
      </c>
      <c r="B23" s="33" t="s">
        <v>240</v>
      </c>
      <c r="C23" s="34" t="b">
        <v>0</v>
      </c>
      <c r="D23" s="24"/>
      <c r="E23" s="24" t="b">
        <v>1</v>
      </c>
    </row>
    <row r="24">
      <c r="A24" s="32" t="s">
        <v>261</v>
      </c>
      <c r="B24" s="33" t="s">
        <v>262</v>
      </c>
      <c r="C24" s="34" t="b">
        <v>0</v>
      </c>
      <c r="D24" s="24"/>
      <c r="E24" s="24" t="b">
        <v>1</v>
      </c>
    </row>
    <row r="25">
      <c r="A25" s="32" t="s">
        <v>169</v>
      </c>
      <c r="B25" s="33" t="s">
        <v>170</v>
      </c>
      <c r="C25" s="34" t="b">
        <v>1</v>
      </c>
      <c r="E25" s="24" t="b">
        <v>0</v>
      </c>
    </row>
    <row r="26">
      <c r="A26" s="32" t="s">
        <v>204</v>
      </c>
      <c r="B26" s="33" t="s">
        <v>205</v>
      </c>
      <c r="C26" s="34" t="b">
        <v>0</v>
      </c>
      <c r="D26" s="24"/>
      <c r="E26" s="24" t="b">
        <v>1</v>
      </c>
    </row>
    <row r="27">
      <c r="A27" s="32" t="s">
        <v>108</v>
      </c>
      <c r="B27" s="33" t="s">
        <v>109</v>
      </c>
      <c r="C27" s="34" t="b">
        <v>0</v>
      </c>
      <c r="D27" s="24"/>
      <c r="E27" s="24" t="b">
        <v>1</v>
      </c>
    </row>
    <row r="28">
      <c r="A28" s="32" t="s">
        <v>212</v>
      </c>
      <c r="B28" s="33" t="s">
        <v>213</v>
      </c>
      <c r="C28" s="34" t="b">
        <v>1</v>
      </c>
      <c r="D28" s="5" t="s">
        <v>322</v>
      </c>
      <c r="E28" s="24" t="b">
        <v>1</v>
      </c>
    </row>
    <row r="29">
      <c r="A29" s="32" t="s">
        <v>98</v>
      </c>
      <c r="B29" s="33" t="s">
        <v>99</v>
      </c>
      <c r="C29" s="34" t="b">
        <v>0</v>
      </c>
      <c r="E29" s="24" t="b">
        <v>0</v>
      </c>
    </row>
    <row r="30">
      <c r="A30" s="32" t="s">
        <v>149</v>
      </c>
      <c r="B30" s="33" t="s">
        <v>150</v>
      </c>
      <c r="C30" s="34" t="b">
        <v>0</v>
      </c>
      <c r="D30" s="5" t="s">
        <v>323</v>
      </c>
      <c r="E30" s="24" t="b">
        <v>1</v>
      </c>
    </row>
    <row r="31">
      <c r="A31" s="32" t="s">
        <v>269</v>
      </c>
      <c r="B31" s="33" t="s">
        <v>270</v>
      </c>
      <c r="C31" s="34" t="b">
        <v>0</v>
      </c>
      <c r="D31" s="5" t="s">
        <v>324</v>
      </c>
      <c r="E31" s="24" t="b">
        <v>1</v>
      </c>
    </row>
    <row r="32">
      <c r="A32" s="32" t="s">
        <v>155</v>
      </c>
      <c r="B32" s="33" t="s">
        <v>156</v>
      </c>
      <c r="C32" s="34" t="s">
        <v>304</v>
      </c>
      <c r="E32" s="24" t="b">
        <v>0</v>
      </c>
    </row>
    <row r="33">
      <c r="A33" s="32" t="s">
        <v>159</v>
      </c>
      <c r="B33" s="33" t="s">
        <v>160</v>
      </c>
      <c r="C33" s="34" t="b">
        <v>1</v>
      </c>
      <c r="D33" s="24"/>
      <c r="E33" s="24" t="b">
        <v>1</v>
      </c>
    </row>
    <row r="34">
      <c r="A34" s="32" t="s">
        <v>161</v>
      </c>
      <c r="B34" s="33" t="s">
        <v>162</v>
      </c>
      <c r="C34" s="34" t="b">
        <v>0</v>
      </c>
      <c r="E34" s="24" t="b">
        <v>0</v>
      </c>
    </row>
    <row r="35">
      <c r="A35" s="32" t="s">
        <v>293</v>
      </c>
      <c r="B35" s="33" t="s">
        <v>294</v>
      </c>
      <c r="C35" s="34" t="b">
        <v>1</v>
      </c>
      <c r="D35" s="24"/>
      <c r="E35" s="24" t="b">
        <v>1</v>
      </c>
    </row>
    <row r="36">
      <c r="A36" s="32" t="s">
        <v>265</v>
      </c>
      <c r="B36" s="33" t="s">
        <v>266</v>
      </c>
      <c r="C36" s="34" t="b">
        <v>0</v>
      </c>
      <c r="E36" s="24" t="b">
        <v>0</v>
      </c>
    </row>
    <row r="37">
      <c r="A37" s="32" t="s">
        <v>182</v>
      </c>
      <c r="B37" s="33" t="s">
        <v>183</v>
      </c>
      <c r="C37" s="34" t="b">
        <v>0</v>
      </c>
      <c r="D37" s="5" t="s">
        <v>325</v>
      </c>
      <c r="E37" s="24" t="b">
        <v>0</v>
      </c>
    </row>
    <row r="38">
      <c r="A38" s="32" t="s">
        <v>110</v>
      </c>
      <c r="B38" s="33" t="s">
        <v>111</v>
      </c>
      <c r="C38" s="34" t="b">
        <v>0</v>
      </c>
      <c r="D38" s="5" t="s">
        <v>326</v>
      </c>
      <c r="E38" s="24" t="b">
        <v>0</v>
      </c>
    </row>
    <row r="39">
      <c r="A39" s="32" t="s">
        <v>225</v>
      </c>
      <c r="B39" s="33" t="s">
        <v>226</v>
      </c>
      <c r="C39" s="34" t="b">
        <v>0</v>
      </c>
      <c r="D39" s="5" t="s">
        <v>327</v>
      </c>
      <c r="E39" s="24" t="b">
        <v>0</v>
      </c>
    </row>
    <row r="40">
      <c r="A40" s="32" t="s">
        <v>221</v>
      </c>
      <c r="B40" s="33" t="s">
        <v>222</v>
      </c>
      <c r="C40" s="34" t="b">
        <v>0</v>
      </c>
      <c r="D40" s="5" t="s">
        <v>316</v>
      </c>
      <c r="E40" s="24" t="b">
        <v>0</v>
      </c>
    </row>
    <row r="41">
      <c r="A41" s="32" t="s">
        <v>214</v>
      </c>
      <c r="B41" s="33" t="s">
        <v>215</v>
      </c>
      <c r="C41" s="34" t="b">
        <v>0</v>
      </c>
      <c r="E41" s="24" t="b">
        <v>0</v>
      </c>
    </row>
    <row r="42">
      <c r="A42" s="32" t="s">
        <v>251</v>
      </c>
      <c r="B42" s="33" t="s">
        <v>252</v>
      </c>
      <c r="C42" s="34" t="b">
        <v>1</v>
      </c>
      <c r="D42" s="24"/>
      <c r="E42" s="24" t="b">
        <v>1</v>
      </c>
    </row>
    <row r="43">
      <c r="A43" s="32" t="s">
        <v>223</v>
      </c>
      <c r="B43" s="33" t="s">
        <v>224</v>
      </c>
      <c r="C43" s="34" t="b">
        <v>1</v>
      </c>
      <c r="D43" s="24"/>
      <c r="E43" s="24" t="b">
        <v>1</v>
      </c>
    </row>
    <row r="44">
      <c r="A44" s="32" t="s">
        <v>138</v>
      </c>
      <c r="B44" s="33" t="s">
        <v>139</v>
      </c>
      <c r="C44" s="34" t="b">
        <v>1</v>
      </c>
      <c r="D44" s="24"/>
      <c r="E44" s="24" t="b">
        <v>1</v>
      </c>
    </row>
    <row r="45">
      <c r="A45" s="32" t="s">
        <v>192</v>
      </c>
      <c r="B45" s="33" t="s">
        <v>193</v>
      </c>
      <c r="C45" s="34" t="b">
        <v>1</v>
      </c>
      <c r="D45" s="24"/>
      <c r="E45" s="24" t="b">
        <v>1</v>
      </c>
    </row>
    <row r="46">
      <c r="A46" s="32" t="s">
        <v>271</v>
      </c>
      <c r="B46" s="33" t="s">
        <v>272</v>
      </c>
      <c r="C46" s="34" t="s">
        <v>304</v>
      </c>
      <c r="E46" s="24" t="b">
        <v>0</v>
      </c>
    </row>
    <row r="47">
      <c r="A47" s="32" t="s">
        <v>253</v>
      </c>
      <c r="B47" s="33" t="s">
        <v>254</v>
      </c>
      <c r="C47" s="34" t="b">
        <v>1</v>
      </c>
      <c r="D47" s="24"/>
      <c r="E47" s="24" t="b">
        <v>1</v>
      </c>
    </row>
    <row r="48">
      <c r="A48" s="32" t="s">
        <v>153</v>
      </c>
      <c r="B48" s="33" t="s">
        <v>154</v>
      </c>
      <c r="C48" s="34" t="s">
        <v>304</v>
      </c>
      <c r="E48" s="24" t="b">
        <v>0</v>
      </c>
    </row>
    <row r="49">
      <c r="A49" s="32" t="s">
        <v>257</v>
      </c>
      <c r="B49" s="33" t="s">
        <v>258</v>
      </c>
      <c r="C49" s="34" t="b">
        <v>0</v>
      </c>
      <c r="D49" s="24"/>
      <c r="E49" s="24" t="b">
        <v>1</v>
      </c>
    </row>
    <row r="50">
      <c r="A50" s="32" t="s">
        <v>263</v>
      </c>
      <c r="B50" s="33" t="s">
        <v>264</v>
      </c>
      <c r="C50" s="34" t="b">
        <v>0</v>
      </c>
      <c r="D50" s="5" t="s">
        <v>328</v>
      </c>
      <c r="E50" s="24" t="b">
        <v>1</v>
      </c>
    </row>
    <row r="51">
      <c r="A51" s="32" t="s">
        <v>131</v>
      </c>
      <c r="B51" s="33" t="s">
        <v>132</v>
      </c>
      <c r="C51" s="34" t="b">
        <v>0</v>
      </c>
      <c r="E51" s="24" t="b">
        <v>0</v>
      </c>
    </row>
    <row r="52">
      <c r="A52" s="32" t="s">
        <v>281</v>
      </c>
      <c r="B52" s="33" t="s">
        <v>282</v>
      </c>
      <c r="C52" s="34" t="b">
        <v>0</v>
      </c>
      <c r="D52" s="24"/>
      <c r="E52" s="24" t="b">
        <v>1</v>
      </c>
    </row>
    <row r="53">
      <c r="A53" s="32" t="s">
        <v>216</v>
      </c>
      <c r="B53" s="33" t="s">
        <v>217</v>
      </c>
      <c r="C53" s="34" t="b">
        <v>1</v>
      </c>
      <c r="D53" s="5" t="s">
        <v>329</v>
      </c>
      <c r="E53" s="24" t="b">
        <v>0</v>
      </c>
    </row>
    <row r="54">
      <c r="A54" s="32" t="s">
        <v>171</v>
      </c>
      <c r="B54" s="33" t="s">
        <v>172</v>
      </c>
      <c r="C54" s="34" t="b">
        <v>0</v>
      </c>
      <c r="E54" s="24" t="b">
        <v>0</v>
      </c>
    </row>
    <row r="55">
      <c r="A55" s="32" t="s">
        <v>94</v>
      </c>
      <c r="B55" s="33" t="s">
        <v>95</v>
      </c>
      <c r="C55" s="34" t="b">
        <v>1</v>
      </c>
      <c r="E55" s="24" t="b">
        <v>0</v>
      </c>
    </row>
    <row r="56">
      <c r="A56" s="32" t="s">
        <v>275</v>
      </c>
      <c r="B56" s="33" t="s">
        <v>276</v>
      </c>
      <c r="C56" s="34" t="b">
        <v>1</v>
      </c>
      <c r="E56" s="24" t="b">
        <v>0</v>
      </c>
    </row>
    <row r="57">
      <c r="A57" s="32" t="s">
        <v>165</v>
      </c>
      <c r="B57" s="33" t="s">
        <v>166</v>
      </c>
      <c r="C57" s="34" t="b">
        <v>0</v>
      </c>
      <c r="D57" s="24"/>
      <c r="E57" s="24" t="b">
        <v>1</v>
      </c>
    </row>
    <row r="58">
      <c r="A58" s="32" t="s">
        <v>114</v>
      </c>
      <c r="B58" s="33" t="s">
        <v>115</v>
      </c>
      <c r="C58" s="34" t="b">
        <v>1</v>
      </c>
      <c r="D58" s="24"/>
      <c r="E58" s="24" t="b">
        <v>1</v>
      </c>
    </row>
    <row r="59">
      <c r="A59" s="32" t="s">
        <v>140</v>
      </c>
      <c r="B59" s="33" t="s">
        <v>141</v>
      </c>
      <c r="C59" s="34" t="b">
        <v>1</v>
      </c>
      <c r="D59" s="24"/>
      <c r="E59" s="24" t="b">
        <v>1</v>
      </c>
    </row>
    <row r="60">
      <c r="A60" s="32" t="s">
        <v>206</v>
      </c>
      <c r="B60" s="33" t="s">
        <v>207</v>
      </c>
      <c r="C60" s="34" t="b">
        <v>0</v>
      </c>
      <c r="D60" s="5" t="s">
        <v>330</v>
      </c>
      <c r="E60" s="24" t="b">
        <v>0</v>
      </c>
    </row>
    <row r="61">
      <c r="A61" s="32" t="s">
        <v>127</v>
      </c>
      <c r="B61" s="33" t="s">
        <v>128</v>
      </c>
      <c r="C61" s="34" t="b">
        <v>0</v>
      </c>
      <c r="D61" s="24"/>
      <c r="E61" s="24" t="b">
        <v>1</v>
      </c>
    </row>
    <row r="62">
      <c r="A62" s="32" t="s">
        <v>100</v>
      </c>
      <c r="B62" s="33" t="s">
        <v>101</v>
      </c>
      <c r="C62" s="34" t="b">
        <v>1</v>
      </c>
      <c r="D62" s="5" t="s">
        <v>331</v>
      </c>
      <c r="E62" s="24" t="b">
        <v>0</v>
      </c>
    </row>
    <row r="63">
      <c r="A63" s="32" t="s">
        <v>279</v>
      </c>
      <c r="B63" s="33" t="s">
        <v>280</v>
      </c>
      <c r="C63" s="34" t="b">
        <v>1</v>
      </c>
      <c r="D63" s="24"/>
      <c r="E63" s="24" t="b">
        <v>1</v>
      </c>
    </row>
    <row r="64">
      <c r="A64" s="32" t="s">
        <v>283</v>
      </c>
      <c r="B64" s="33" t="s">
        <v>284</v>
      </c>
      <c r="C64" s="34" t="b">
        <v>1</v>
      </c>
      <c r="D64" s="5" t="s">
        <v>332</v>
      </c>
      <c r="E64" s="24" t="b">
        <v>1</v>
      </c>
    </row>
    <row r="65">
      <c r="A65" s="32" t="s">
        <v>194</v>
      </c>
      <c r="B65" s="33" t="s">
        <v>195</v>
      </c>
      <c r="C65" s="34" t="b">
        <v>0</v>
      </c>
      <c r="D65" s="5" t="s">
        <v>333</v>
      </c>
      <c r="E65" s="24" t="b">
        <v>1</v>
      </c>
    </row>
    <row r="66">
      <c r="A66" s="32" t="s">
        <v>105</v>
      </c>
      <c r="B66" s="33" t="s">
        <v>106</v>
      </c>
      <c r="C66" s="34" t="b">
        <v>1</v>
      </c>
      <c r="E66" s="24" t="b">
        <v>0</v>
      </c>
    </row>
    <row r="67">
      <c r="A67" s="32" t="s">
        <v>133</v>
      </c>
      <c r="B67" s="33" t="s">
        <v>134</v>
      </c>
      <c r="C67" s="34" t="b">
        <v>0</v>
      </c>
      <c r="D67" s="5" t="s">
        <v>334</v>
      </c>
      <c r="E67" s="24" t="b">
        <v>1</v>
      </c>
    </row>
    <row r="68">
      <c r="A68" s="32" t="s">
        <v>241</v>
      </c>
      <c r="B68" s="33" t="s">
        <v>242</v>
      </c>
      <c r="C68" s="34" t="b">
        <v>1</v>
      </c>
      <c r="E68" s="24" t="b">
        <v>0</v>
      </c>
    </row>
    <row r="69">
      <c r="A69" s="32" t="s">
        <v>231</v>
      </c>
      <c r="B69" s="33" t="s">
        <v>232</v>
      </c>
      <c r="C69" s="34" t="b">
        <v>1</v>
      </c>
      <c r="E69" s="24" t="b">
        <v>0</v>
      </c>
    </row>
    <row r="70">
      <c r="A70" s="32" t="s">
        <v>167</v>
      </c>
      <c r="B70" s="33" t="s">
        <v>168</v>
      </c>
      <c r="C70" s="34" t="b">
        <v>0</v>
      </c>
      <c r="E70" s="24" t="b">
        <v>0</v>
      </c>
    </row>
    <row r="71">
      <c r="A71" s="32" t="s">
        <v>120</v>
      </c>
      <c r="B71" s="33" t="s">
        <v>121</v>
      </c>
      <c r="C71" s="34" t="b">
        <v>0</v>
      </c>
      <c r="D71" s="5" t="s">
        <v>335</v>
      </c>
      <c r="E71" s="24" t="b">
        <v>1</v>
      </c>
    </row>
    <row r="72">
      <c r="A72" s="32" t="s">
        <v>245</v>
      </c>
      <c r="B72" s="33" t="s">
        <v>246</v>
      </c>
      <c r="C72" s="34" t="b">
        <v>1</v>
      </c>
      <c r="E72" s="24" t="b">
        <v>0</v>
      </c>
    </row>
    <row r="73">
      <c r="A73" s="32" t="s">
        <v>237</v>
      </c>
      <c r="B73" s="33" t="s">
        <v>238</v>
      </c>
      <c r="C73" s="34" t="b">
        <v>1</v>
      </c>
      <c r="D73" s="24"/>
      <c r="E73" s="24" t="b">
        <v>1</v>
      </c>
    </row>
    <row r="74">
      <c r="A74" s="32" t="s">
        <v>173</v>
      </c>
      <c r="B74" s="33" t="s">
        <v>174</v>
      </c>
      <c r="C74" s="34" t="b">
        <v>0</v>
      </c>
      <c r="E74" s="24" t="b">
        <v>0</v>
      </c>
    </row>
    <row r="75">
      <c r="A75" s="32" t="s">
        <v>297</v>
      </c>
      <c r="B75" s="33" t="s">
        <v>298</v>
      </c>
      <c r="C75" s="34" t="b">
        <v>1</v>
      </c>
      <c r="D75" s="24"/>
      <c r="E75" s="24" t="b">
        <v>1</v>
      </c>
    </row>
    <row r="76">
      <c r="A76" s="32" t="s">
        <v>229</v>
      </c>
      <c r="B76" s="33" t="s">
        <v>230</v>
      </c>
      <c r="C76" s="34" t="b">
        <v>0</v>
      </c>
      <c r="E76" s="24" t="b">
        <v>0</v>
      </c>
    </row>
    <row r="77">
      <c r="A77" s="32" t="s">
        <v>200</v>
      </c>
      <c r="B77" s="33" t="s">
        <v>201</v>
      </c>
      <c r="C77" s="34" t="b">
        <v>0</v>
      </c>
      <c r="E77" s="24" t="b">
        <v>0</v>
      </c>
    </row>
    <row r="78">
      <c r="A78" s="32" t="s">
        <v>142</v>
      </c>
      <c r="B78" s="33" t="s">
        <v>143</v>
      </c>
      <c r="C78" s="34" t="b">
        <v>1</v>
      </c>
      <c r="D78" s="24"/>
      <c r="E78" s="24" t="b">
        <v>1</v>
      </c>
    </row>
    <row r="79">
      <c r="A79" s="32" t="s">
        <v>289</v>
      </c>
      <c r="B79" s="33" t="s">
        <v>290</v>
      </c>
      <c r="C79" s="34" t="b">
        <v>1</v>
      </c>
      <c r="D79" s="24"/>
      <c r="E79" s="24" t="b">
        <v>1</v>
      </c>
    </row>
    <row r="80">
      <c r="A80" s="32" t="s">
        <v>277</v>
      </c>
      <c r="B80" s="33" t="s">
        <v>278</v>
      </c>
      <c r="C80" s="34" t="b">
        <v>1</v>
      </c>
      <c r="D80" s="24"/>
      <c r="E80" s="24" t="b">
        <v>1</v>
      </c>
    </row>
    <row r="81">
      <c r="A81" s="32" t="s">
        <v>249</v>
      </c>
      <c r="B81" s="33" t="s">
        <v>250</v>
      </c>
      <c r="C81" s="34" t="b">
        <v>1</v>
      </c>
      <c r="D81" s="24"/>
      <c r="E81" s="24" t="b">
        <v>1</v>
      </c>
    </row>
    <row r="82">
      <c r="A82" s="32" t="s">
        <v>188</v>
      </c>
      <c r="B82" s="33" t="s">
        <v>189</v>
      </c>
      <c r="C82" s="34" t="b">
        <v>1</v>
      </c>
      <c r="E82" s="24" t="b">
        <v>0</v>
      </c>
    </row>
    <row r="83">
      <c r="A83" s="32" t="s">
        <v>227</v>
      </c>
      <c r="B83" s="33" t="s">
        <v>228</v>
      </c>
      <c r="C83" s="34" t="b">
        <v>1</v>
      </c>
      <c r="D83" s="24"/>
      <c r="E83" s="24" t="b">
        <v>1</v>
      </c>
    </row>
    <row r="84">
      <c r="A84" s="32" t="s">
        <v>175</v>
      </c>
      <c r="B84" s="33" t="s">
        <v>176</v>
      </c>
      <c r="C84" s="34" t="b">
        <v>0</v>
      </c>
      <c r="E84" s="24" t="b">
        <v>0</v>
      </c>
    </row>
    <row r="85">
      <c r="A85" s="32" t="s">
        <v>243</v>
      </c>
      <c r="B85" s="33" t="s">
        <v>244</v>
      </c>
      <c r="C85" s="34" t="b">
        <v>1</v>
      </c>
      <c r="E85" s="24" t="b">
        <v>0</v>
      </c>
    </row>
    <row r="86">
      <c r="A86" s="32" t="s">
        <v>103</v>
      </c>
      <c r="B86" s="33" t="s">
        <v>104</v>
      </c>
      <c r="C86" s="34" t="b">
        <v>1</v>
      </c>
      <c r="E86" s="24" t="b">
        <v>0</v>
      </c>
    </row>
    <row r="87">
      <c r="A87" s="32" t="s">
        <v>157</v>
      </c>
      <c r="B87" s="33" t="s">
        <v>158</v>
      </c>
      <c r="C87" s="34" t="b">
        <v>0</v>
      </c>
      <c r="D87" s="5" t="s">
        <v>336</v>
      </c>
      <c r="E87" s="24" t="b">
        <v>1</v>
      </c>
    </row>
    <row r="88">
      <c r="A88" s="32" t="s">
        <v>184</v>
      </c>
      <c r="B88" s="33" t="s">
        <v>185</v>
      </c>
      <c r="C88" s="34" t="b">
        <v>1</v>
      </c>
      <c r="D88" s="5" t="s">
        <v>337</v>
      </c>
      <c r="E88" s="24" t="b">
        <v>1</v>
      </c>
    </row>
    <row r="89">
      <c r="A89" s="32" t="s">
        <v>202</v>
      </c>
      <c r="B89" s="33" t="s">
        <v>203</v>
      </c>
      <c r="C89" s="34" t="b">
        <v>0</v>
      </c>
      <c r="D89" s="24"/>
      <c r="E89" s="24" t="b">
        <v>1</v>
      </c>
    </row>
    <row r="90">
      <c r="A90" s="32" t="s">
        <v>96</v>
      </c>
      <c r="B90" s="33" t="s">
        <v>97</v>
      </c>
      <c r="C90" s="34" t="b">
        <v>1</v>
      </c>
      <c r="D90" s="24"/>
      <c r="E90" s="24" t="b">
        <v>1</v>
      </c>
    </row>
    <row r="91">
      <c r="A91" s="32" t="s">
        <v>219</v>
      </c>
      <c r="B91" s="33" t="s">
        <v>220</v>
      </c>
      <c r="C91" s="34" t="b">
        <v>0</v>
      </c>
      <c r="D91" s="24"/>
      <c r="E91" s="24" t="b">
        <v>1</v>
      </c>
    </row>
    <row r="92">
      <c r="A92" s="32" t="s">
        <v>295</v>
      </c>
      <c r="B92" s="33" t="s">
        <v>296</v>
      </c>
      <c r="C92" s="34" t="b">
        <v>1</v>
      </c>
      <c r="D92" s="24"/>
      <c r="E92" s="24" t="b">
        <v>1</v>
      </c>
    </row>
    <row r="93">
      <c r="A93" s="32" t="s">
        <v>163</v>
      </c>
      <c r="B93" s="33" t="s">
        <v>164</v>
      </c>
      <c r="C93" s="34" t="b">
        <v>1</v>
      </c>
      <c r="D93" s="24"/>
      <c r="E93" s="24" t="b">
        <v>1</v>
      </c>
    </row>
    <row r="94">
      <c r="A94" s="32" t="s">
        <v>177</v>
      </c>
      <c r="B94" s="33" t="s">
        <v>178</v>
      </c>
      <c r="C94" s="34" t="b">
        <v>0</v>
      </c>
      <c r="D94" s="24"/>
      <c r="E94" s="24" t="b">
        <v>1</v>
      </c>
    </row>
    <row r="95">
      <c r="A95" s="32" t="s">
        <v>129</v>
      </c>
      <c r="B95" s="33" t="s">
        <v>130</v>
      </c>
      <c r="C95" s="34" t="b">
        <v>0</v>
      </c>
      <c r="D95" s="24"/>
      <c r="E95" s="24" t="b">
        <v>1</v>
      </c>
    </row>
    <row r="96">
      <c r="A96" s="32" t="s">
        <v>125</v>
      </c>
      <c r="B96" s="33" t="s">
        <v>126</v>
      </c>
      <c r="C96" s="34" t="b">
        <v>1</v>
      </c>
      <c r="E96" s="24" t="b">
        <v>0</v>
      </c>
    </row>
    <row r="97">
      <c r="A97" s="32" t="s">
        <v>267</v>
      </c>
      <c r="B97" s="33" t="s">
        <v>268</v>
      </c>
      <c r="C97" s="34" t="b">
        <v>0</v>
      </c>
      <c r="D97" s="5" t="s">
        <v>338</v>
      </c>
      <c r="E97" s="24" t="b">
        <v>1</v>
      </c>
    </row>
    <row r="98">
      <c r="A98" s="32" t="s">
        <v>118</v>
      </c>
      <c r="B98" s="33" t="s">
        <v>119</v>
      </c>
      <c r="C98" s="34" t="b">
        <v>0</v>
      </c>
      <c r="D98" s="5" t="s">
        <v>339</v>
      </c>
      <c r="E98" s="24" t="b">
        <v>1</v>
      </c>
    </row>
    <row r="99">
      <c r="A99" s="32" t="s">
        <v>210</v>
      </c>
      <c r="B99" s="33" t="s">
        <v>211</v>
      </c>
      <c r="C99" s="34" t="b">
        <v>0</v>
      </c>
      <c r="E99" s="24" t="b">
        <v>0</v>
      </c>
    </row>
    <row r="100">
      <c r="A100" s="32" t="s">
        <v>196</v>
      </c>
      <c r="B100" s="33" t="s">
        <v>197</v>
      </c>
      <c r="C100" s="34" t="b">
        <v>0</v>
      </c>
      <c r="E100" s="24" t="b">
        <v>0</v>
      </c>
    </row>
    <row r="101">
      <c r="A101" s="32" t="s">
        <v>147</v>
      </c>
      <c r="B101" s="33" t="s">
        <v>148</v>
      </c>
      <c r="C101" s="34" t="b">
        <v>0</v>
      </c>
      <c r="E101" s="24" t="b">
        <v>0</v>
      </c>
    </row>
  </sheetData>
  <conditionalFormatting sqref="A2:E101">
    <cfRule type="expression" dxfId="1" priority="1">
      <formula>$E2</formula>
    </cfRule>
  </conditionalFormatting>
  <dataValidations>
    <dataValidation type="list" allowBlank="1" showErrorMessage="1" sqref="C2:C101">
      <formula1>"TO DO,TRUE,FALSE,SKIP"</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0.25"/>
    <col customWidth="1" min="11" max="11" width="17.13"/>
  </cols>
  <sheetData>
    <row r="1">
      <c r="A1" s="38" t="s">
        <v>340</v>
      </c>
      <c r="B1" s="38" t="s">
        <v>341</v>
      </c>
      <c r="C1" s="38" t="s">
        <v>342</v>
      </c>
      <c r="D1" s="38" t="s">
        <v>343</v>
      </c>
      <c r="E1" s="38" t="s">
        <v>344</v>
      </c>
      <c r="F1" s="38" t="s">
        <v>345</v>
      </c>
      <c r="G1" s="38" t="s">
        <v>346</v>
      </c>
      <c r="H1" s="38" t="s">
        <v>347</v>
      </c>
      <c r="I1" s="39" t="s">
        <v>348</v>
      </c>
      <c r="J1" s="38" t="s">
        <v>349</v>
      </c>
      <c r="K1" s="40" t="s">
        <v>350</v>
      </c>
    </row>
    <row r="2">
      <c r="A2" s="41" t="s">
        <v>351</v>
      </c>
      <c r="B2" s="41" t="s">
        <v>142</v>
      </c>
      <c r="C2" s="41" t="s">
        <v>143</v>
      </c>
      <c r="D2" s="42">
        <v>12.0</v>
      </c>
      <c r="E2" s="43">
        <v>0.0</v>
      </c>
      <c r="F2" s="43">
        <v>9.0</v>
      </c>
      <c r="G2" s="43">
        <v>9.0</v>
      </c>
      <c r="H2" s="43">
        <v>1.0</v>
      </c>
      <c r="I2" s="44" t="b">
        <v>1</v>
      </c>
      <c r="J2" s="12" t="s">
        <v>352</v>
      </c>
      <c r="K2" s="43" t="s">
        <v>353</v>
      </c>
    </row>
    <row r="3">
      <c r="A3" s="41" t="s">
        <v>354</v>
      </c>
      <c r="B3" s="41" t="s">
        <v>186</v>
      </c>
      <c r="C3" s="41" t="s">
        <v>187</v>
      </c>
      <c r="D3" s="42">
        <v>12.0</v>
      </c>
      <c r="E3" s="43">
        <v>0.0</v>
      </c>
      <c r="F3" s="43">
        <v>12.0</v>
      </c>
      <c r="G3" s="43">
        <v>12.0</v>
      </c>
      <c r="H3" s="43">
        <v>1.0</v>
      </c>
      <c r="I3" s="44" t="b">
        <v>1</v>
      </c>
      <c r="J3" s="12" t="s">
        <v>352</v>
      </c>
      <c r="K3" s="43" t="s">
        <v>355</v>
      </c>
    </row>
    <row r="4">
      <c r="A4" s="41" t="s">
        <v>356</v>
      </c>
      <c r="B4" s="41" t="s">
        <v>200</v>
      </c>
      <c r="C4" s="41" t="s">
        <v>201</v>
      </c>
      <c r="D4" s="42">
        <v>12.0</v>
      </c>
      <c r="E4" s="43">
        <v>7.0</v>
      </c>
      <c r="F4" s="43">
        <v>2.0</v>
      </c>
      <c r="G4" s="43">
        <v>9.0</v>
      </c>
      <c r="H4" s="43">
        <v>0.555555555555555</v>
      </c>
      <c r="I4" s="44" t="b">
        <v>0</v>
      </c>
      <c r="J4" s="12" t="s">
        <v>357</v>
      </c>
      <c r="K4" s="43" t="s">
        <v>358</v>
      </c>
    </row>
    <row r="5">
      <c r="A5" s="41" t="s">
        <v>359</v>
      </c>
      <c r="B5" s="41" t="s">
        <v>151</v>
      </c>
      <c r="C5" s="41" t="s">
        <v>152</v>
      </c>
      <c r="D5" s="42">
        <v>12.0</v>
      </c>
      <c r="E5" s="43">
        <v>0.0</v>
      </c>
      <c r="F5" s="43">
        <v>9.0</v>
      </c>
      <c r="G5" s="43">
        <v>9.0</v>
      </c>
      <c r="H5" s="43">
        <v>1.0</v>
      </c>
      <c r="I5" s="44" t="b">
        <v>1</v>
      </c>
      <c r="J5" s="12" t="s">
        <v>352</v>
      </c>
      <c r="K5" s="43" t="s">
        <v>360</v>
      </c>
    </row>
    <row r="6">
      <c r="A6" s="41" t="s">
        <v>361</v>
      </c>
      <c r="B6" s="41" t="s">
        <v>159</v>
      </c>
      <c r="C6" s="41" t="s">
        <v>160</v>
      </c>
      <c r="D6" s="42">
        <v>12.0</v>
      </c>
      <c r="E6" s="43">
        <v>0.0</v>
      </c>
      <c r="F6" s="43">
        <v>9.0</v>
      </c>
      <c r="G6" s="43">
        <v>9.0</v>
      </c>
      <c r="H6" s="43">
        <v>1.0</v>
      </c>
      <c r="I6" s="44" t="b">
        <v>1</v>
      </c>
      <c r="J6" s="12" t="s">
        <v>352</v>
      </c>
      <c r="K6" s="43" t="s">
        <v>33</v>
      </c>
    </row>
    <row r="7">
      <c r="A7" s="41" t="s">
        <v>362</v>
      </c>
      <c r="B7" s="41" t="s">
        <v>214</v>
      </c>
      <c r="C7" s="41" t="s">
        <v>215</v>
      </c>
      <c r="D7" s="42">
        <v>12.0</v>
      </c>
      <c r="E7" s="43">
        <v>7.0</v>
      </c>
      <c r="F7" s="43">
        <v>2.0</v>
      </c>
      <c r="G7" s="43">
        <v>9.0</v>
      </c>
      <c r="H7" s="43">
        <v>0.555555555555555</v>
      </c>
      <c r="I7" s="44" t="b">
        <v>0</v>
      </c>
      <c r="J7" s="12" t="s">
        <v>357</v>
      </c>
      <c r="K7" s="43" t="s">
        <v>358</v>
      </c>
    </row>
    <row r="8">
      <c r="A8" s="41" t="s">
        <v>363</v>
      </c>
      <c r="B8" s="41" t="s">
        <v>247</v>
      </c>
      <c r="C8" s="41" t="s">
        <v>248</v>
      </c>
      <c r="D8" s="42">
        <v>12.0</v>
      </c>
      <c r="E8" s="43">
        <v>7.0</v>
      </c>
      <c r="F8" s="43">
        <v>2.0</v>
      </c>
      <c r="G8" s="43">
        <v>9.0</v>
      </c>
      <c r="H8" s="43">
        <v>0.555555555555555</v>
      </c>
      <c r="I8" s="44" t="b">
        <v>0</v>
      </c>
      <c r="J8" s="12" t="s">
        <v>357</v>
      </c>
      <c r="K8" s="43" t="s">
        <v>358</v>
      </c>
    </row>
    <row r="9">
      <c r="A9" s="41" t="s">
        <v>364</v>
      </c>
      <c r="B9" s="41" t="s">
        <v>165</v>
      </c>
      <c r="C9" s="41" t="s">
        <v>166</v>
      </c>
      <c r="D9" s="42">
        <v>12.0</v>
      </c>
      <c r="E9" s="43">
        <v>8.0</v>
      </c>
      <c r="F9" s="43">
        <v>1.0</v>
      </c>
      <c r="G9" s="43">
        <v>9.0</v>
      </c>
      <c r="H9" s="43">
        <v>0.777777777777777</v>
      </c>
      <c r="I9" s="44" t="b">
        <v>0</v>
      </c>
      <c r="J9" s="12" t="s">
        <v>365</v>
      </c>
      <c r="K9" s="43" t="s">
        <v>358</v>
      </c>
    </row>
    <row r="10">
      <c r="A10" s="41" t="s">
        <v>364</v>
      </c>
      <c r="B10" s="41" t="s">
        <v>297</v>
      </c>
      <c r="C10" s="41" t="s">
        <v>298</v>
      </c>
      <c r="D10" s="42">
        <v>12.0</v>
      </c>
      <c r="E10" s="43">
        <v>9.0</v>
      </c>
      <c r="F10" s="43">
        <v>20.0</v>
      </c>
      <c r="G10" s="43">
        <v>29.0</v>
      </c>
      <c r="H10" s="43">
        <v>0.379310344827586</v>
      </c>
      <c r="I10" s="44" t="b">
        <v>1</v>
      </c>
      <c r="J10" s="12" t="s">
        <v>366</v>
      </c>
      <c r="K10" s="43" t="s">
        <v>358</v>
      </c>
    </row>
    <row r="11">
      <c r="A11" s="41" t="s">
        <v>367</v>
      </c>
      <c r="B11" s="41" t="s">
        <v>190</v>
      </c>
      <c r="C11" s="41" t="s">
        <v>191</v>
      </c>
      <c r="D11" s="42">
        <v>12.0</v>
      </c>
      <c r="E11" s="43">
        <v>0.0</v>
      </c>
      <c r="F11" s="43">
        <v>31.0</v>
      </c>
      <c r="G11" s="43">
        <v>31.0</v>
      </c>
      <c r="H11" s="43">
        <v>1.0</v>
      </c>
      <c r="I11" s="44" t="b">
        <v>1</v>
      </c>
      <c r="J11" s="12" t="s">
        <v>352</v>
      </c>
      <c r="K11" s="43" t="s">
        <v>358</v>
      </c>
    </row>
    <row r="12">
      <c r="A12" s="41" t="s">
        <v>354</v>
      </c>
      <c r="B12" s="41" t="s">
        <v>112</v>
      </c>
      <c r="C12" s="41" t="s">
        <v>113</v>
      </c>
      <c r="D12" s="42">
        <v>12.0</v>
      </c>
      <c r="E12" s="43">
        <v>0.0</v>
      </c>
      <c r="F12" s="43">
        <v>9.0</v>
      </c>
      <c r="G12" s="43">
        <v>9.0</v>
      </c>
      <c r="H12" s="43">
        <v>1.0</v>
      </c>
      <c r="I12" s="44" t="b">
        <v>1</v>
      </c>
      <c r="J12" s="12" t="s">
        <v>352</v>
      </c>
      <c r="K12" s="43" t="s">
        <v>368</v>
      </c>
    </row>
    <row r="13">
      <c r="A13" s="41" t="s">
        <v>361</v>
      </c>
      <c r="B13" s="41" t="s">
        <v>249</v>
      </c>
      <c r="C13" s="41" t="s">
        <v>250</v>
      </c>
      <c r="D13" s="42">
        <v>12.0</v>
      </c>
      <c r="E13" s="43">
        <v>0.0</v>
      </c>
      <c r="F13" s="43">
        <v>9.0</v>
      </c>
      <c r="G13" s="43">
        <v>9.0</v>
      </c>
      <c r="H13" s="43">
        <v>1.0</v>
      </c>
      <c r="I13" s="44" t="b">
        <v>1</v>
      </c>
      <c r="J13" s="12" t="s">
        <v>352</v>
      </c>
      <c r="K13" s="43" t="s">
        <v>33</v>
      </c>
    </row>
    <row r="14">
      <c r="A14" s="41" t="s">
        <v>369</v>
      </c>
      <c r="B14" s="41" t="s">
        <v>235</v>
      </c>
      <c r="C14" s="41" t="s">
        <v>236</v>
      </c>
      <c r="D14" s="42">
        <v>12.0</v>
      </c>
      <c r="E14" s="43">
        <v>9.0</v>
      </c>
      <c r="F14" s="43">
        <v>22.0</v>
      </c>
      <c r="G14" s="43">
        <v>31.0</v>
      </c>
      <c r="H14" s="43">
        <v>0.419354838709677</v>
      </c>
      <c r="I14" s="44" t="b">
        <v>1</v>
      </c>
      <c r="J14" s="12" t="s">
        <v>357</v>
      </c>
      <c r="K14" s="43" t="s">
        <v>358</v>
      </c>
    </row>
    <row r="15">
      <c r="A15" s="41" t="s">
        <v>370</v>
      </c>
      <c r="B15" s="41" t="s">
        <v>127</v>
      </c>
      <c r="C15" s="41" t="s">
        <v>128</v>
      </c>
      <c r="D15" s="42">
        <v>12.0</v>
      </c>
      <c r="E15" s="43">
        <v>7.0</v>
      </c>
      <c r="F15" s="43">
        <v>2.0</v>
      </c>
      <c r="G15" s="43">
        <v>9.0</v>
      </c>
      <c r="H15" s="43">
        <v>0.555555555555555</v>
      </c>
      <c r="I15" s="44" t="b">
        <v>0</v>
      </c>
      <c r="J15" s="12" t="s">
        <v>357</v>
      </c>
      <c r="K15" s="43" t="s">
        <v>358</v>
      </c>
    </row>
    <row r="16">
      <c r="A16" s="41" t="s">
        <v>371</v>
      </c>
      <c r="B16" s="41" t="s">
        <v>140</v>
      </c>
      <c r="C16" s="41" t="s">
        <v>141</v>
      </c>
      <c r="D16" s="42">
        <v>12.0</v>
      </c>
      <c r="E16" s="43">
        <v>0.0</v>
      </c>
      <c r="F16" s="43">
        <v>9.0</v>
      </c>
      <c r="G16" s="43">
        <v>9.0</v>
      </c>
      <c r="H16" s="43">
        <v>1.0</v>
      </c>
      <c r="I16" s="44" t="b">
        <v>1</v>
      </c>
      <c r="J16" s="12" t="s">
        <v>352</v>
      </c>
      <c r="K16" s="43" t="s">
        <v>372</v>
      </c>
    </row>
    <row r="17">
      <c r="A17" s="41" t="s">
        <v>373</v>
      </c>
      <c r="B17" s="41" t="s">
        <v>105</v>
      </c>
      <c r="C17" s="41" t="s">
        <v>106</v>
      </c>
      <c r="D17" s="42">
        <v>12.0</v>
      </c>
      <c r="E17" s="43">
        <v>0.0</v>
      </c>
      <c r="F17" s="43">
        <v>18.0</v>
      </c>
      <c r="G17" s="43">
        <v>18.0</v>
      </c>
      <c r="H17" s="43">
        <v>1.0</v>
      </c>
      <c r="I17" s="44" t="b">
        <v>1</v>
      </c>
      <c r="J17" s="12" t="s">
        <v>352</v>
      </c>
      <c r="K17" s="43" t="s">
        <v>374</v>
      </c>
    </row>
    <row r="18">
      <c r="A18" s="41" t="s">
        <v>375</v>
      </c>
      <c r="B18" s="41" t="s">
        <v>212</v>
      </c>
      <c r="C18" s="41" t="s">
        <v>213</v>
      </c>
      <c r="D18" s="42">
        <v>12.0</v>
      </c>
      <c r="E18" s="43">
        <v>3.0</v>
      </c>
      <c r="F18" s="43">
        <v>46.0</v>
      </c>
      <c r="G18" s="43">
        <v>49.0</v>
      </c>
      <c r="H18" s="43">
        <v>0.877551020408163</v>
      </c>
      <c r="I18" s="44" t="b">
        <v>1</v>
      </c>
      <c r="J18" s="12" t="s">
        <v>352</v>
      </c>
      <c r="K18" s="43" t="s">
        <v>358</v>
      </c>
    </row>
    <row r="19">
      <c r="A19" s="41" t="s">
        <v>376</v>
      </c>
      <c r="B19" s="41" t="s">
        <v>291</v>
      </c>
      <c r="C19" s="41" t="s">
        <v>292</v>
      </c>
      <c r="D19" s="42">
        <v>12.0</v>
      </c>
      <c r="E19" s="43">
        <v>0.0</v>
      </c>
      <c r="F19" s="43">
        <v>9.0</v>
      </c>
      <c r="G19" s="43">
        <v>9.0</v>
      </c>
      <c r="H19" s="43">
        <v>1.0</v>
      </c>
      <c r="I19" s="44" t="b">
        <v>1</v>
      </c>
      <c r="J19" s="12" t="s">
        <v>352</v>
      </c>
      <c r="K19" s="43" t="s">
        <v>377</v>
      </c>
    </row>
    <row r="20">
      <c r="A20" s="41" t="s">
        <v>378</v>
      </c>
      <c r="B20" s="41" t="s">
        <v>239</v>
      </c>
      <c r="C20" s="41" t="s">
        <v>240</v>
      </c>
      <c r="D20" s="42">
        <v>12.0</v>
      </c>
      <c r="E20" s="43">
        <v>6.0</v>
      </c>
      <c r="F20" s="43">
        <v>24.0</v>
      </c>
      <c r="G20" s="43">
        <v>30.0</v>
      </c>
      <c r="H20" s="43">
        <v>0.6</v>
      </c>
      <c r="I20" s="44" t="b">
        <v>1</v>
      </c>
      <c r="J20" s="12" t="s">
        <v>357</v>
      </c>
      <c r="K20" s="43" t="s">
        <v>358</v>
      </c>
    </row>
    <row r="21">
      <c r="A21" s="41" t="s">
        <v>379</v>
      </c>
      <c r="B21" s="41" t="s">
        <v>210</v>
      </c>
      <c r="C21" s="41" t="s">
        <v>211</v>
      </c>
      <c r="D21" s="42">
        <v>12.0</v>
      </c>
      <c r="E21" s="43">
        <v>7.0</v>
      </c>
      <c r="F21" s="43">
        <v>2.0</v>
      </c>
      <c r="G21" s="43">
        <v>9.0</v>
      </c>
      <c r="H21" s="43">
        <v>0.555555555555555</v>
      </c>
      <c r="I21" s="44" t="b">
        <v>0</v>
      </c>
      <c r="J21" s="12" t="s">
        <v>357</v>
      </c>
      <c r="K21" s="43" t="s">
        <v>358</v>
      </c>
    </row>
    <row r="22">
      <c r="A22" s="41" t="s">
        <v>364</v>
      </c>
      <c r="B22" s="41" t="s">
        <v>273</v>
      </c>
      <c r="C22" s="41" t="s">
        <v>274</v>
      </c>
      <c r="D22" s="42">
        <v>12.0</v>
      </c>
      <c r="E22" s="43">
        <v>8.0</v>
      </c>
      <c r="F22" s="43">
        <v>24.0</v>
      </c>
      <c r="G22" s="43">
        <v>32.0</v>
      </c>
      <c r="H22" s="43">
        <v>0.5</v>
      </c>
      <c r="I22" s="44" t="b">
        <v>1</v>
      </c>
      <c r="J22" s="12" t="s">
        <v>357</v>
      </c>
      <c r="K22" s="43" t="s">
        <v>358</v>
      </c>
    </row>
    <row r="23">
      <c r="A23" s="41" t="s">
        <v>380</v>
      </c>
      <c r="B23" s="41" t="s">
        <v>169</v>
      </c>
      <c r="C23" s="41" t="s">
        <v>170</v>
      </c>
      <c r="D23" s="42">
        <v>12.0</v>
      </c>
      <c r="E23" s="43">
        <v>7.0</v>
      </c>
      <c r="F23" s="43">
        <v>25.0</v>
      </c>
      <c r="G23" s="43">
        <v>32.0</v>
      </c>
      <c r="H23" s="43">
        <v>0.5625</v>
      </c>
      <c r="I23" s="44" t="b">
        <v>1</v>
      </c>
      <c r="J23" s="12" t="s">
        <v>357</v>
      </c>
      <c r="K23" s="43" t="s">
        <v>358</v>
      </c>
    </row>
    <row r="24">
      <c r="A24" s="41" t="s">
        <v>381</v>
      </c>
      <c r="B24" s="41" t="s">
        <v>173</v>
      </c>
      <c r="C24" s="41" t="s">
        <v>174</v>
      </c>
      <c r="D24" s="42">
        <v>12.0</v>
      </c>
      <c r="E24" s="43">
        <v>8.0</v>
      </c>
      <c r="F24" s="43">
        <v>1.0</v>
      </c>
      <c r="G24" s="43">
        <v>9.0</v>
      </c>
      <c r="H24" s="43">
        <v>0.777777777777777</v>
      </c>
      <c r="I24" s="44" t="b">
        <v>0</v>
      </c>
      <c r="J24" s="12" t="s">
        <v>365</v>
      </c>
      <c r="K24" s="43" t="s">
        <v>358</v>
      </c>
    </row>
    <row r="25">
      <c r="A25" s="41" t="s">
        <v>382</v>
      </c>
      <c r="B25" s="41" t="s">
        <v>216</v>
      </c>
      <c r="C25" s="41" t="s">
        <v>217</v>
      </c>
      <c r="D25" s="42">
        <v>12.0</v>
      </c>
      <c r="E25" s="43">
        <v>1.0</v>
      </c>
      <c r="F25" s="43">
        <v>8.0</v>
      </c>
      <c r="G25" s="43">
        <v>9.0</v>
      </c>
      <c r="H25" s="43">
        <v>0.777777777777777</v>
      </c>
      <c r="I25" s="44" t="b">
        <v>1</v>
      </c>
      <c r="J25" s="12" t="s">
        <v>365</v>
      </c>
      <c r="K25" s="43" t="s">
        <v>374</v>
      </c>
    </row>
    <row r="26">
      <c r="A26" s="41" t="s">
        <v>383</v>
      </c>
      <c r="B26" s="41" t="s">
        <v>204</v>
      </c>
      <c r="C26" s="41" t="s">
        <v>205</v>
      </c>
      <c r="D26" s="42">
        <v>12.0</v>
      </c>
      <c r="E26" s="43">
        <v>7.0</v>
      </c>
      <c r="F26" s="43">
        <v>2.0</v>
      </c>
      <c r="G26" s="43">
        <v>9.0</v>
      </c>
      <c r="H26" s="43">
        <v>0.555555555555555</v>
      </c>
      <c r="I26" s="44" t="b">
        <v>0</v>
      </c>
      <c r="J26" s="12" t="s">
        <v>357</v>
      </c>
      <c r="K26" s="43" t="s">
        <v>358</v>
      </c>
    </row>
    <row r="27">
      <c r="A27" s="41" t="s">
        <v>384</v>
      </c>
      <c r="B27" s="41" t="s">
        <v>255</v>
      </c>
      <c r="C27" s="41" t="s">
        <v>256</v>
      </c>
      <c r="D27" s="42">
        <v>12.0</v>
      </c>
      <c r="E27" s="43">
        <v>1.0</v>
      </c>
      <c r="F27" s="43">
        <v>8.0</v>
      </c>
      <c r="G27" s="43">
        <v>9.0</v>
      </c>
      <c r="H27" s="43">
        <v>0.777777777777777</v>
      </c>
      <c r="I27" s="44" t="b">
        <v>1</v>
      </c>
      <c r="J27" s="12" t="s">
        <v>365</v>
      </c>
      <c r="K27" s="43" t="s">
        <v>385</v>
      </c>
    </row>
    <row r="28">
      <c r="A28" s="41" t="s">
        <v>386</v>
      </c>
      <c r="B28" s="41" t="s">
        <v>223</v>
      </c>
      <c r="C28" s="41" t="s">
        <v>224</v>
      </c>
      <c r="D28" s="42">
        <v>12.0</v>
      </c>
      <c r="E28" s="43">
        <v>7.0</v>
      </c>
      <c r="F28" s="43">
        <v>2.0</v>
      </c>
      <c r="G28" s="43">
        <v>9.0</v>
      </c>
      <c r="H28" s="43">
        <v>0.555555555555555</v>
      </c>
      <c r="I28" s="44" t="b">
        <v>0</v>
      </c>
      <c r="J28" s="12" t="s">
        <v>357</v>
      </c>
      <c r="K28" s="43" t="s">
        <v>358</v>
      </c>
    </row>
    <row r="29">
      <c r="A29" s="41" t="s">
        <v>387</v>
      </c>
      <c r="B29" s="41" t="s">
        <v>110</v>
      </c>
      <c r="C29" s="41" t="s">
        <v>111</v>
      </c>
      <c r="D29" s="42">
        <v>12.0</v>
      </c>
      <c r="E29" s="43">
        <v>1.0</v>
      </c>
      <c r="F29" s="43">
        <v>8.0</v>
      </c>
      <c r="G29" s="43">
        <v>9.0</v>
      </c>
      <c r="H29" s="43">
        <v>0.777777777777777</v>
      </c>
      <c r="I29" s="44" t="b">
        <v>1</v>
      </c>
      <c r="J29" s="12" t="s">
        <v>365</v>
      </c>
      <c r="K29" s="43" t="s">
        <v>388</v>
      </c>
    </row>
    <row r="30">
      <c r="A30" s="41" t="s">
        <v>389</v>
      </c>
      <c r="B30" s="41" t="s">
        <v>208</v>
      </c>
      <c r="C30" s="41" t="s">
        <v>209</v>
      </c>
      <c r="D30" s="42">
        <v>12.0</v>
      </c>
      <c r="E30" s="43">
        <v>1.0</v>
      </c>
      <c r="F30" s="43">
        <v>8.0</v>
      </c>
      <c r="G30" s="43">
        <v>9.0</v>
      </c>
      <c r="H30" s="43">
        <v>0.777777777777777</v>
      </c>
      <c r="I30" s="44" t="b">
        <v>1</v>
      </c>
      <c r="J30" s="12" t="s">
        <v>365</v>
      </c>
      <c r="K30" s="43" t="s">
        <v>355</v>
      </c>
    </row>
    <row r="31">
      <c r="A31" s="41" t="s">
        <v>390</v>
      </c>
      <c r="B31" s="41" t="s">
        <v>237</v>
      </c>
      <c r="C31" s="41" t="s">
        <v>238</v>
      </c>
      <c r="D31" s="42">
        <v>12.0</v>
      </c>
      <c r="E31" s="43">
        <v>1.0</v>
      </c>
      <c r="F31" s="43">
        <v>42.0</v>
      </c>
      <c r="G31" s="43">
        <v>43.0</v>
      </c>
      <c r="H31" s="43">
        <v>0.953488372093023</v>
      </c>
      <c r="I31" s="44" t="b">
        <v>1</v>
      </c>
      <c r="J31" s="12" t="s">
        <v>352</v>
      </c>
      <c r="K31" s="43" t="s">
        <v>358</v>
      </c>
    </row>
    <row r="32">
      <c r="A32" s="41" t="s">
        <v>364</v>
      </c>
      <c r="B32" s="41" t="s">
        <v>157</v>
      </c>
      <c r="C32" s="41" t="s">
        <v>158</v>
      </c>
      <c r="D32" s="42">
        <v>12.0</v>
      </c>
      <c r="E32" s="43">
        <v>9.0</v>
      </c>
      <c r="F32" s="43">
        <v>37.0</v>
      </c>
      <c r="G32" s="43">
        <v>46.0</v>
      </c>
      <c r="H32" s="43">
        <v>0.608695652173913</v>
      </c>
      <c r="I32" s="44" t="b">
        <v>1</v>
      </c>
      <c r="J32" s="12" t="s">
        <v>365</v>
      </c>
      <c r="K32" s="43" t="s">
        <v>358</v>
      </c>
    </row>
    <row r="33">
      <c r="A33" s="41" t="s">
        <v>364</v>
      </c>
      <c r="B33" s="41" t="s">
        <v>198</v>
      </c>
      <c r="C33" s="41" t="s">
        <v>199</v>
      </c>
      <c r="D33" s="42">
        <v>12.0</v>
      </c>
      <c r="E33" s="43">
        <v>18.0</v>
      </c>
      <c r="F33" s="43">
        <v>10.0</v>
      </c>
      <c r="G33" s="43">
        <v>28.0</v>
      </c>
      <c r="H33" s="43">
        <v>0.285714285714285</v>
      </c>
      <c r="I33" s="44" t="b">
        <v>0</v>
      </c>
      <c r="J33" s="12" t="s">
        <v>366</v>
      </c>
      <c r="K33" s="43" t="s">
        <v>358</v>
      </c>
    </row>
    <row r="34">
      <c r="A34" s="41" t="s">
        <v>391</v>
      </c>
      <c r="B34" s="41" t="s">
        <v>285</v>
      </c>
      <c r="C34" s="41" t="s">
        <v>286</v>
      </c>
      <c r="D34" s="42">
        <v>12.0</v>
      </c>
      <c r="E34" s="43">
        <v>5.0</v>
      </c>
      <c r="F34" s="43">
        <v>27.0</v>
      </c>
      <c r="G34" s="43">
        <v>32.0</v>
      </c>
      <c r="H34" s="43">
        <v>0.6875</v>
      </c>
      <c r="I34" s="44" t="b">
        <v>1</v>
      </c>
      <c r="J34" s="12" t="s">
        <v>365</v>
      </c>
      <c r="K34" s="43" t="s">
        <v>358</v>
      </c>
    </row>
    <row r="35">
      <c r="A35" s="41" t="s">
        <v>392</v>
      </c>
      <c r="B35" s="41" t="s">
        <v>261</v>
      </c>
      <c r="C35" s="41" t="s">
        <v>262</v>
      </c>
      <c r="D35" s="42">
        <v>12.0</v>
      </c>
      <c r="E35" s="43">
        <v>15.0</v>
      </c>
      <c r="F35" s="43">
        <v>13.0</v>
      </c>
      <c r="G35" s="43">
        <v>28.0</v>
      </c>
      <c r="H35" s="43">
        <v>0.0714285714285714</v>
      </c>
      <c r="I35" s="44" t="b">
        <v>0</v>
      </c>
      <c r="J35" s="12" t="s">
        <v>393</v>
      </c>
      <c r="K35" s="43" t="s">
        <v>358</v>
      </c>
    </row>
    <row r="36">
      <c r="A36" s="41" t="s">
        <v>394</v>
      </c>
      <c r="B36" s="41" t="s">
        <v>206</v>
      </c>
      <c r="C36" s="41" t="s">
        <v>207</v>
      </c>
      <c r="D36" s="42">
        <v>12.0</v>
      </c>
      <c r="E36" s="43">
        <v>1.0</v>
      </c>
      <c r="F36" s="43">
        <v>8.0</v>
      </c>
      <c r="G36" s="43">
        <v>9.0</v>
      </c>
      <c r="H36" s="43">
        <v>0.777777777777777</v>
      </c>
      <c r="I36" s="44" t="b">
        <v>1</v>
      </c>
      <c r="J36" s="12" t="s">
        <v>365</v>
      </c>
      <c r="K36" s="43" t="s">
        <v>395</v>
      </c>
    </row>
    <row r="37">
      <c r="A37" s="41" t="s">
        <v>396</v>
      </c>
      <c r="B37" s="41" t="s">
        <v>243</v>
      </c>
      <c r="C37" s="41" t="s">
        <v>244</v>
      </c>
      <c r="D37" s="42">
        <v>12.0</v>
      </c>
      <c r="E37" s="43">
        <v>1.0</v>
      </c>
      <c r="F37" s="43">
        <v>8.0</v>
      </c>
      <c r="G37" s="43">
        <v>9.0</v>
      </c>
      <c r="H37" s="43">
        <v>0.777777777777777</v>
      </c>
      <c r="I37" s="44" t="b">
        <v>1</v>
      </c>
      <c r="J37" s="12" t="s">
        <v>365</v>
      </c>
      <c r="K37" s="43" t="s">
        <v>377</v>
      </c>
    </row>
    <row r="38">
      <c r="A38" s="41" t="s">
        <v>397</v>
      </c>
      <c r="B38" s="41" t="s">
        <v>281</v>
      </c>
      <c r="C38" s="41" t="s">
        <v>282</v>
      </c>
      <c r="D38" s="42">
        <v>12.0</v>
      </c>
      <c r="E38" s="43">
        <v>15.0</v>
      </c>
      <c r="F38" s="43">
        <v>12.0</v>
      </c>
      <c r="G38" s="43">
        <v>27.0</v>
      </c>
      <c r="H38" s="43">
        <v>0.111111111111111</v>
      </c>
      <c r="I38" s="44" t="b">
        <v>0</v>
      </c>
      <c r="J38" s="12" t="s">
        <v>393</v>
      </c>
      <c r="K38" s="43" t="s">
        <v>358</v>
      </c>
    </row>
    <row r="39">
      <c r="A39" s="41" t="s">
        <v>364</v>
      </c>
      <c r="B39" s="41" t="s">
        <v>171</v>
      </c>
      <c r="C39" s="41" t="s">
        <v>172</v>
      </c>
      <c r="D39" s="42">
        <v>12.0</v>
      </c>
      <c r="E39" s="43">
        <v>12.0</v>
      </c>
      <c r="F39" s="43">
        <v>16.0</v>
      </c>
      <c r="G39" s="43">
        <v>28.0</v>
      </c>
      <c r="H39" s="43">
        <v>0.142857142857142</v>
      </c>
      <c r="I39" s="44" t="b">
        <v>1</v>
      </c>
      <c r="J39" s="12" t="s">
        <v>393</v>
      </c>
      <c r="K39" s="43" t="s">
        <v>358</v>
      </c>
    </row>
    <row r="40">
      <c r="A40" s="41" t="s">
        <v>380</v>
      </c>
      <c r="B40" s="41" t="s">
        <v>125</v>
      </c>
      <c r="C40" s="41" t="s">
        <v>126</v>
      </c>
      <c r="D40" s="42">
        <v>12.0</v>
      </c>
      <c r="E40" s="43">
        <v>3.0</v>
      </c>
      <c r="F40" s="43">
        <v>17.0</v>
      </c>
      <c r="G40" s="43">
        <v>20.0</v>
      </c>
      <c r="H40" s="43">
        <v>0.7</v>
      </c>
      <c r="I40" s="44" t="b">
        <v>1</v>
      </c>
      <c r="J40" s="12" t="s">
        <v>365</v>
      </c>
      <c r="K40" s="43" t="s">
        <v>360</v>
      </c>
    </row>
    <row r="41">
      <c r="A41" s="41" t="s">
        <v>398</v>
      </c>
      <c r="B41" s="41" t="s">
        <v>229</v>
      </c>
      <c r="C41" s="41" t="s">
        <v>230</v>
      </c>
      <c r="D41" s="42">
        <v>12.0</v>
      </c>
      <c r="E41" s="43">
        <v>7.0</v>
      </c>
      <c r="F41" s="43">
        <v>2.0</v>
      </c>
      <c r="G41" s="43">
        <v>9.0</v>
      </c>
      <c r="H41" s="43">
        <v>0.555555555555555</v>
      </c>
      <c r="I41" s="44" t="b">
        <v>0</v>
      </c>
      <c r="J41" s="12" t="s">
        <v>357</v>
      </c>
      <c r="K41" s="43" t="s">
        <v>358</v>
      </c>
    </row>
    <row r="42">
      <c r="A42" s="41" t="s">
        <v>399</v>
      </c>
      <c r="B42" s="41" t="s">
        <v>177</v>
      </c>
      <c r="C42" s="41" t="s">
        <v>178</v>
      </c>
      <c r="D42" s="42">
        <v>12.0</v>
      </c>
      <c r="E42" s="43">
        <v>12.0</v>
      </c>
      <c r="F42" s="43">
        <v>19.0</v>
      </c>
      <c r="G42" s="43">
        <v>31.0</v>
      </c>
      <c r="H42" s="43">
        <v>0.225806451612903</v>
      </c>
      <c r="I42" s="44" t="b">
        <v>1</v>
      </c>
      <c r="J42" s="12" t="s">
        <v>366</v>
      </c>
      <c r="K42" s="43" t="s">
        <v>358</v>
      </c>
    </row>
    <row r="43">
      <c r="A43" s="41" t="s">
        <v>356</v>
      </c>
      <c r="B43" s="41" t="s">
        <v>167</v>
      </c>
      <c r="C43" s="41" t="s">
        <v>168</v>
      </c>
      <c r="D43" s="42">
        <v>12.0</v>
      </c>
      <c r="E43" s="43">
        <v>12.0</v>
      </c>
      <c r="F43" s="43">
        <v>16.0</v>
      </c>
      <c r="G43" s="43">
        <v>28.0</v>
      </c>
      <c r="H43" s="43">
        <v>0.142857142857142</v>
      </c>
      <c r="I43" s="44" t="b">
        <v>1</v>
      </c>
      <c r="J43" s="12" t="s">
        <v>393</v>
      </c>
      <c r="K43" s="43" t="s">
        <v>358</v>
      </c>
    </row>
    <row r="44">
      <c r="A44" s="41" t="s">
        <v>400</v>
      </c>
      <c r="B44" s="41" t="s">
        <v>188</v>
      </c>
      <c r="C44" s="41" t="s">
        <v>189</v>
      </c>
      <c r="D44" s="42">
        <v>12.0</v>
      </c>
      <c r="E44" s="43">
        <v>5.0</v>
      </c>
      <c r="F44" s="43">
        <v>18.0</v>
      </c>
      <c r="G44" s="43">
        <v>23.0</v>
      </c>
      <c r="H44" s="43">
        <v>0.565217391304347</v>
      </c>
      <c r="I44" s="44" t="b">
        <v>1</v>
      </c>
      <c r="J44" s="12" t="s">
        <v>357</v>
      </c>
      <c r="K44" s="43" t="s">
        <v>372</v>
      </c>
    </row>
    <row r="45">
      <c r="A45" s="41" t="s">
        <v>386</v>
      </c>
      <c r="B45" s="41" t="s">
        <v>231</v>
      </c>
      <c r="C45" s="41" t="s">
        <v>232</v>
      </c>
      <c r="D45" s="42">
        <v>12.0</v>
      </c>
      <c r="E45" s="43">
        <v>2.0</v>
      </c>
      <c r="F45" s="43">
        <v>7.0</v>
      </c>
      <c r="G45" s="43">
        <v>9.0</v>
      </c>
      <c r="H45" s="43">
        <v>0.555555555555555</v>
      </c>
      <c r="I45" s="44" t="b">
        <v>1</v>
      </c>
      <c r="J45" s="12" t="s">
        <v>357</v>
      </c>
      <c r="K45" s="43" t="s">
        <v>385</v>
      </c>
    </row>
    <row r="46">
      <c r="A46" s="41" t="s">
        <v>401</v>
      </c>
      <c r="B46" s="41" t="s">
        <v>108</v>
      </c>
      <c r="C46" s="41" t="s">
        <v>109</v>
      </c>
      <c r="D46" s="42">
        <v>12.0</v>
      </c>
      <c r="E46" s="43">
        <v>11.0</v>
      </c>
      <c r="F46" s="43">
        <v>2.0</v>
      </c>
      <c r="G46" s="43">
        <v>13.0</v>
      </c>
      <c r="H46" s="43">
        <v>0.692307692307692</v>
      </c>
      <c r="I46" s="44" t="b">
        <v>0</v>
      </c>
      <c r="J46" s="12" t="s">
        <v>365</v>
      </c>
      <c r="K46" s="43" t="s">
        <v>358</v>
      </c>
    </row>
    <row r="47">
      <c r="A47" s="41" t="s">
        <v>386</v>
      </c>
      <c r="B47" s="41" t="s">
        <v>196</v>
      </c>
      <c r="C47" s="41" t="s">
        <v>197</v>
      </c>
      <c r="D47" s="42">
        <v>12.0</v>
      </c>
      <c r="E47" s="43">
        <v>13.0</v>
      </c>
      <c r="F47" s="43">
        <v>16.0</v>
      </c>
      <c r="G47" s="43">
        <v>29.0</v>
      </c>
      <c r="H47" s="43">
        <v>0.103448275862068</v>
      </c>
      <c r="I47" s="44" t="b">
        <v>1</v>
      </c>
      <c r="J47" s="12" t="s">
        <v>393</v>
      </c>
      <c r="K47" s="43" t="s">
        <v>358</v>
      </c>
    </row>
    <row r="48">
      <c r="A48" s="41" t="s">
        <v>402</v>
      </c>
      <c r="B48" s="41" t="s">
        <v>192</v>
      </c>
      <c r="C48" s="41" t="s">
        <v>193</v>
      </c>
      <c r="D48" s="42">
        <v>12.0</v>
      </c>
      <c r="E48" s="43">
        <v>5.0</v>
      </c>
      <c r="F48" s="43">
        <v>28.0</v>
      </c>
      <c r="G48" s="43">
        <v>33.0</v>
      </c>
      <c r="H48" s="43">
        <v>0.696969696969697</v>
      </c>
      <c r="I48" s="44" t="b">
        <v>1</v>
      </c>
      <c r="J48" s="12" t="s">
        <v>365</v>
      </c>
      <c r="K48" s="43" t="s">
        <v>358</v>
      </c>
    </row>
    <row r="49">
      <c r="A49" s="41" t="s">
        <v>403</v>
      </c>
      <c r="B49" s="41" t="s">
        <v>251</v>
      </c>
      <c r="C49" s="41" t="s">
        <v>252</v>
      </c>
      <c r="D49" s="42">
        <v>12.0</v>
      </c>
      <c r="E49" s="43">
        <v>13.0</v>
      </c>
      <c r="F49" s="43">
        <v>17.0</v>
      </c>
      <c r="G49" s="43">
        <v>30.0</v>
      </c>
      <c r="H49" s="43">
        <v>0.133333333333333</v>
      </c>
      <c r="I49" s="44" t="b">
        <v>1</v>
      </c>
      <c r="J49" s="12" t="s">
        <v>393</v>
      </c>
      <c r="K49" s="43" t="s">
        <v>358</v>
      </c>
    </row>
    <row r="50">
      <c r="A50" s="41" t="s">
        <v>404</v>
      </c>
      <c r="B50" s="41" t="s">
        <v>283</v>
      </c>
      <c r="C50" s="41" t="s">
        <v>284</v>
      </c>
      <c r="D50" s="42">
        <v>12.0</v>
      </c>
      <c r="E50" s="43">
        <v>7.0</v>
      </c>
      <c r="F50" s="43">
        <v>2.0</v>
      </c>
      <c r="G50" s="43">
        <v>9.0</v>
      </c>
      <c r="H50" s="43">
        <v>0.555555555555555</v>
      </c>
      <c r="I50" s="44" t="b">
        <v>0</v>
      </c>
      <c r="J50" s="12" t="s">
        <v>357</v>
      </c>
      <c r="K50" s="43" t="s">
        <v>358</v>
      </c>
    </row>
    <row r="51">
      <c r="A51" s="41" t="s">
        <v>389</v>
      </c>
      <c r="B51" s="41" t="s">
        <v>219</v>
      </c>
      <c r="C51" s="41" t="s">
        <v>220</v>
      </c>
      <c r="D51" s="42">
        <v>12.0</v>
      </c>
      <c r="E51" s="43">
        <v>13.0</v>
      </c>
      <c r="F51" s="43">
        <v>17.0</v>
      </c>
      <c r="G51" s="43">
        <v>30.0</v>
      </c>
      <c r="H51" s="43">
        <v>0.133333333333333</v>
      </c>
      <c r="I51" s="44" t="b">
        <v>1</v>
      </c>
      <c r="J51" s="12" t="s">
        <v>393</v>
      </c>
      <c r="K51" s="43" t="s">
        <v>358</v>
      </c>
    </row>
    <row r="52">
      <c r="A52" s="41" t="s">
        <v>397</v>
      </c>
      <c r="B52" s="41" t="s">
        <v>225</v>
      </c>
      <c r="C52" s="41" t="s">
        <v>226</v>
      </c>
      <c r="D52" s="42">
        <v>12.0</v>
      </c>
      <c r="E52" s="43">
        <v>9.0</v>
      </c>
      <c r="F52" s="43">
        <v>20.0</v>
      </c>
      <c r="G52" s="43">
        <v>29.0</v>
      </c>
      <c r="H52" s="43">
        <v>0.379310344827586</v>
      </c>
      <c r="I52" s="44" t="b">
        <v>1</v>
      </c>
      <c r="J52" s="12" t="s">
        <v>366</v>
      </c>
      <c r="K52" s="43" t="s">
        <v>358</v>
      </c>
    </row>
    <row r="53">
      <c r="A53" s="41" t="s">
        <v>380</v>
      </c>
      <c r="B53" s="41" t="s">
        <v>279</v>
      </c>
      <c r="C53" s="41" t="s">
        <v>280</v>
      </c>
      <c r="D53" s="42">
        <v>12.0</v>
      </c>
      <c r="E53" s="43">
        <v>3.0</v>
      </c>
      <c r="F53" s="43">
        <v>29.0</v>
      </c>
      <c r="G53" s="43">
        <v>32.0</v>
      </c>
      <c r="H53" s="43">
        <v>0.8125</v>
      </c>
      <c r="I53" s="44" t="b">
        <v>1</v>
      </c>
      <c r="J53" s="12" t="s">
        <v>352</v>
      </c>
      <c r="K53" s="43" t="s">
        <v>358</v>
      </c>
    </row>
    <row r="54">
      <c r="A54" s="41" t="s">
        <v>363</v>
      </c>
      <c r="B54" s="41" t="s">
        <v>122</v>
      </c>
      <c r="C54" s="41" t="s">
        <v>123</v>
      </c>
      <c r="D54" s="42">
        <v>12.0</v>
      </c>
      <c r="E54" s="43">
        <v>2.0</v>
      </c>
      <c r="F54" s="43">
        <v>7.0</v>
      </c>
      <c r="G54" s="43">
        <v>9.0</v>
      </c>
      <c r="H54" s="43">
        <v>0.555555555555555</v>
      </c>
      <c r="I54" s="44" t="b">
        <v>1</v>
      </c>
      <c r="J54" s="12" t="s">
        <v>357</v>
      </c>
      <c r="K54" s="43" t="s">
        <v>395</v>
      </c>
    </row>
    <row r="55">
      <c r="A55" s="41" t="s">
        <v>404</v>
      </c>
      <c r="B55" s="41" t="s">
        <v>299</v>
      </c>
      <c r="C55" s="41" t="s">
        <v>300</v>
      </c>
      <c r="D55" s="42">
        <v>12.0</v>
      </c>
      <c r="E55" s="43">
        <v>2.0</v>
      </c>
      <c r="F55" s="43">
        <v>7.0</v>
      </c>
      <c r="G55" s="43">
        <v>9.0</v>
      </c>
      <c r="H55" s="43">
        <v>0.555555555555555</v>
      </c>
      <c r="I55" s="44" t="b">
        <v>1</v>
      </c>
      <c r="J55" s="12" t="s">
        <v>357</v>
      </c>
      <c r="K55" s="43" t="s">
        <v>388</v>
      </c>
    </row>
    <row r="56">
      <c r="A56" s="41" t="s">
        <v>405</v>
      </c>
      <c r="B56" s="41" t="s">
        <v>98</v>
      </c>
      <c r="C56" s="41" t="s">
        <v>99</v>
      </c>
      <c r="D56" s="42">
        <v>12.0</v>
      </c>
      <c r="E56" s="43">
        <v>7.0</v>
      </c>
      <c r="F56" s="43">
        <v>2.0</v>
      </c>
      <c r="G56" s="43">
        <v>9.0</v>
      </c>
      <c r="H56" s="43">
        <v>0.555555555555555</v>
      </c>
      <c r="I56" s="44" t="b">
        <v>0</v>
      </c>
      <c r="J56" s="12" t="s">
        <v>357</v>
      </c>
      <c r="K56" s="43" t="s">
        <v>385</v>
      </c>
    </row>
    <row r="57">
      <c r="A57" s="41" t="s">
        <v>383</v>
      </c>
      <c r="B57" s="41" t="s">
        <v>100</v>
      </c>
      <c r="C57" s="41" t="s">
        <v>101</v>
      </c>
      <c r="D57" s="42">
        <v>12.0</v>
      </c>
      <c r="E57" s="43">
        <v>18.0</v>
      </c>
      <c r="F57" s="43">
        <v>12.0</v>
      </c>
      <c r="G57" s="43">
        <v>30.0</v>
      </c>
      <c r="H57" s="43">
        <v>0.2</v>
      </c>
      <c r="I57" s="44" t="b">
        <v>0</v>
      </c>
      <c r="J57" s="12" t="s">
        <v>393</v>
      </c>
      <c r="K57" s="43" t="s">
        <v>358</v>
      </c>
    </row>
    <row r="58">
      <c r="A58" s="41" t="s">
        <v>406</v>
      </c>
      <c r="B58" s="41" t="s">
        <v>257</v>
      </c>
      <c r="C58" s="41" t="s">
        <v>258</v>
      </c>
      <c r="D58" s="42">
        <v>12.0</v>
      </c>
      <c r="E58" s="43">
        <v>7.0</v>
      </c>
      <c r="F58" s="43">
        <v>2.0</v>
      </c>
      <c r="G58" s="43">
        <v>9.0</v>
      </c>
      <c r="H58" s="43">
        <v>0.555555555555555</v>
      </c>
      <c r="I58" s="44" t="b">
        <v>0</v>
      </c>
      <c r="J58" s="12" t="s">
        <v>357</v>
      </c>
      <c r="K58" s="43" t="s">
        <v>372</v>
      </c>
    </row>
    <row r="59">
      <c r="A59" s="41" t="s">
        <v>386</v>
      </c>
      <c r="B59" s="41" t="s">
        <v>144</v>
      </c>
      <c r="C59" s="41" t="s">
        <v>145</v>
      </c>
      <c r="D59" s="42">
        <v>12.0</v>
      </c>
      <c r="E59" s="43">
        <v>2.0</v>
      </c>
      <c r="F59" s="43">
        <v>7.0</v>
      </c>
      <c r="G59" s="43">
        <v>9.0</v>
      </c>
      <c r="H59" s="43">
        <v>0.555555555555555</v>
      </c>
      <c r="I59" s="44" t="b">
        <v>1</v>
      </c>
      <c r="J59" s="12" t="s">
        <v>357</v>
      </c>
      <c r="K59" s="43" t="s">
        <v>407</v>
      </c>
    </row>
    <row r="60">
      <c r="A60" s="41" t="s">
        <v>363</v>
      </c>
      <c r="B60" s="41" t="s">
        <v>163</v>
      </c>
      <c r="C60" s="41" t="s">
        <v>164</v>
      </c>
      <c r="D60" s="42">
        <v>12.0</v>
      </c>
      <c r="E60" s="43">
        <v>2.0</v>
      </c>
      <c r="F60" s="43">
        <v>7.0</v>
      </c>
      <c r="G60" s="43">
        <v>9.0</v>
      </c>
      <c r="H60" s="43">
        <v>0.555555555555555</v>
      </c>
      <c r="I60" s="44" t="b">
        <v>1</v>
      </c>
      <c r="J60" s="12" t="s">
        <v>357</v>
      </c>
      <c r="K60" s="43" t="s">
        <v>368</v>
      </c>
    </row>
    <row r="61">
      <c r="A61" s="41" t="s">
        <v>386</v>
      </c>
      <c r="B61" s="41" t="s">
        <v>275</v>
      </c>
      <c r="C61" s="41" t="s">
        <v>276</v>
      </c>
      <c r="D61" s="42">
        <v>12.0</v>
      </c>
      <c r="E61" s="43">
        <v>3.0</v>
      </c>
      <c r="F61" s="43">
        <v>10.0</v>
      </c>
      <c r="G61" s="43">
        <v>13.0</v>
      </c>
      <c r="H61" s="43">
        <v>0.538461538461538</v>
      </c>
      <c r="I61" s="44" t="b">
        <v>1</v>
      </c>
      <c r="J61" s="12" t="s">
        <v>357</v>
      </c>
      <c r="K61" s="43" t="s">
        <v>407</v>
      </c>
    </row>
    <row r="62">
      <c r="A62" s="41" t="s">
        <v>408</v>
      </c>
      <c r="B62" s="41" t="s">
        <v>135</v>
      </c>
      <c r="C62" s="41" t="s">
        <v>136</v>
      </c>
      <c r="D62" s="42">
        <v>12.0</v>
      </c>
      <c r="E62" s="43">
        <v>20.0</v>
      </c>
      <c r="F62" s="43">
        <v>9.0</v>
      </c>
      <c r="G62" s="43">
        <v>29.0</v>
      </c>
      <c r="H62" s="43">
        <v>0.379310344827586</v>
      </c>
      <c r="I62" s="44" t="b">
        <v>0</v>
      </c>
      <c r="J62" s="12" t="s">
        <v>366</v>
      </c>
      <c r="K62" s="43" t="s">
        <v>358</v>
      </c>
    </row>
    <row r="63">
      <c r="A63" s="41" t="s">
        <v>409</v>
      </c>
      <c r="B63" s="41" t="s">
        <v>227</v>
      </c>
      <c r="C63" s="41" t="s">
        <v>228</v>
      </c>
      <c r="D63" s="42">
        <v>12.0</v>
      </c>
      <c r="E63" s="43">
        <v>9.0</v>
      </c>
      <c r="F63" s="43">
        <v>24.0</v>
      </c>
      <c r="G63" s="43">
        <v>33.0</v>
      </c>
      <c r="H63" s="43">
        <v>0.454545454545454</v>
      </c>
      <c r="I63" s="44" t="b">
        <v>1</v>
      </c>
      <c r="J63" s="12" t="s">
        <v>357</v>
      </c>
      <c r="K63" s="43" t="s">
        <v>358</v>
      </c>
    </row>
    <row r="64">
      <c r="A64" s="41" t="s">
        <v>387</v>
      </c>
      <c r="B64" s="41" t="s">
        <v>94</v>
      </c>
      <c r="C64" s="41" t="s">
        <v>95</v>
      </c>
      <c r="D64" s="42">
        <v>12.0</v>
      </c>
      <c r="E64" s="43">
        <v>1.0</v>
      </c>
      <c r="F64" s="43">
        <v>30.0</v>
      </c>
      <c r="G64" s="43">
        <v>31.0</v>
      </c>
      <c r="H64" s="43">
        <v>0.935483870967741</v>
      </c>
      <c r="I64" s="44" t="b">
        <v>1</v>
      </c>
      <c r="J64" s="12" t="s">
        <v>352</v>
      </c>
      <c r="K64" s="43" t="s">
        <v>358</v>
      </c>
    </row>
    <row r="65">
      <c r="A65" s="41" t="s">
        <v>397</v>
      </c>
      <c r="B65" s="41" t="s">
        <v>133</v>
      </c>
      <c r="C65" s="41" t="s">
        <v>134</v>
      </c>
      <c r="D65" s="42">
        <v>12.0</v>
      </c>
      <c r="E65" s="43">
        <v>9.0</v>
      </c>
      <c r="F65" s="43">
        <v>0.0</v>
      </c>
      <c r="G65" s="43">
        <v>9.0</v>
      </c>
      <c r="H65" s="43">
        <v>1.0</v>
      </c>
      <c r="I65" s="44" t="b">
        <v>0</v>
      </c>
      <c r="J65" s="12" t="s">
        <v>352</v>
      </c>
      <c r="K65" s="43" t="s">
        <v>358</v>
      </c>
    </row>
    <row r="66">
      <c r="A66" s="41" t="s">
        <v>410</v>
      </c>
      <c r="B66" s="41" t="s">
        <v>182</v>
      </c>
      <c r="C66" s="41" t="s">
        <v>183</v>
      </c>
      <c r="D66" s="42">
        <v>12.0</v>
      </c>
      <c r="E66" s="43">
        <v>4.0</v>
      </c>
      <c r="F66" s="43">
        <v>30.0</v>
      </c>
      <c r="G66" s="43">
        <v>34.0</v>
      </c>
      <c r="H66" s="43">
        <v>0.764705882352941</v>
      </c>
      <c r="I66" s="44" t="b">
        <v>1</v>
      </c>
      <c r="J66" s="12" t="s">
        <v>365</v>
      </c>
      <c r="K66" s="43" t="s">
        <v>358</v>
      </c>
    </row>
    <row r="67">
      <c r="A67" s="41" t="s">
        <v>364</v>
      </c>
      <c r="B67" s="41" t="s">
        <v>116</v>
      </c>
      <c r="C67" s="41" t="s">
        <v>117</v>
      </c>
      <c r="D67" s="42">
        <v>12.0</v>
      </c>
      <c r="E67" s="43">
        <v>7.0</v>
      </c>
      <c r="F67" s="43">
        <v>3.0</v>
      </c>
      <c r="G67" s="43">
        <v>10.0</v>
      </c>
      <c r="H67" s="43">
        <v>0.4</v>
      </c>
      <c r="I67" s="44" t="b">
        <v>0</v>
      </c>
      <c r="J67" s="12" t="s">
        <v>366</v>
      </c>
      <c r="K67" s="43" t="s">
        <v>388</v>
      </c>
    </row>
    <row r="68">
      <c r="A68" s="41" t="s">
        <v>411</v>
      </c>
      <c r="B68" s="41" t="s">
        <v>194</v>
      </c>
      <c r="C68" s="41" t="s">
        <v>195</v>
      </c>
      <c r="D68" s="42">
        <v>12.0</v>
      </c>
      <c r="E68" s="43">
        <v>6.0</v>
      </c>
      <c r="F68" s="43">
        <v>3.0</v>
      </c>
      <c r="G68" s="43">
        <v>9.0</v>
      </c>
      <c r="H68" s="43">
        <v>0.333333333333333</v>
      </c>
      <c r="I68" s="44" t="b">
        <v>0</v>
      </c>
      <c r="J68" s="12" t="s">
        <v>366</v>
      </c>
      <c r="K68" s="43" t="s">
        <v>374</v>
      </c>
    </row>
    <row r="69">
      <c r="A69" s="41" t="s">
        <v>405</v>
      </c>
      <c r="B69" s="41" t="s">
        <v>265</v>
      </c>
      <c r="C69" s="41" t="s">
        <v>266</v>
      </c>
      <c r="D69" s="42">
        <v>12.0</v>
      </c>
      <c r="E69" s="43">
        <v>6.0</v>
      </c>
      <c r="F69" s="43">
        <v>3.0</v>
      </c>
      <c r="G69" s="43">
        <v>9.0</v>
      </c>
      <c r="H69" s="43">
        <v>0.333333333333333</v>
      </c>
      <c r="I69" s="44" t="b">
        <v>0</v>
      </c>
      <c r="J69" s="12" t="s">
        <v>366</v>
      </c>
      <c r="K69" s="43" t="s">
        <v>395</v>
      </c>
    </row>
    <row r="70">
      <c r="A70" s="41" t="s">
        <v>412</v>
      </c>
      <c r="B70" s="41" t="s">
        <v>114</v>
      </c>
      <c r="C70" s="41" t="s">
        <v>115</v>
      </c>
      <c r="D70" s="42">
        <v>12.0</v>
      </c>
      <c r="E70" s="43">
        <v>6.0</v>
      </c>
      <c r="F70" s="43">
        <v>3.0</v>
      </c>
      <c r="G70" s="43">
        <v>9.0</v>
      </c>
      <c r="H70" s="43">
        <v>0.333333333333333</v>
      </c>
      <c r="I70" s="44" t="b">
        <v>0</v>
      </c>
      <c r="J70" s="12" t="s">
        <v>366</v>
      </c>
      <c r="K70" s="43" t="s">
        <v>353</v>
      </c>
    </row>
    <row r="71">
      <c r="A71" s="41" t="s">
        <v>413</v>
      </c>
      <c r="B71" s="41" t="s">
        <v>118</v>
      </c>
      <c r="C71" s="41" t="s">
        <v>119</v>
      </c>
      <c r="D71" s="42">
        <v>12.0</v>
      </c>
      <c r="E71" s="43">
        <v>6.0</v>
      </c>
      <c r="F71" s="43">
        <v>3.0</v>
      </c>
      <c r="G71" s="43">
        <v>9.0</v>
      </c>
      <c r="H71" s="43">
        <v>0.333333333333333</v>
      </c>
      <c r="I71" s="44" t="b">
        <v>0</v>
      </c>
      <c r="J71" s="12" t="s">
        <v>366</v>
      </c>
      <c r="K71" s="43" t="s">
        <v>368</v>
      </c>
    </row>
    <row r="72">
      <c r="A72" s="41" t="s">
        <v>414</v>
      </c>
      <c r="B72" s="41" t="s">
        <v>131</v>
      </c>
      <c r="C72" s="41" t="s">
        <v>132</v>
      </c>
      <c r="D72" s="42">
        <v>12.0</v>
      </c>
      <c r="E72" s="43">
        <v>21.0</v>
      </c>
      <c r="F72" s="43">
        <v>9.0</v>
      </c>
      <c r="G72" s="43">
        <v>30.0</v>
      </c>
      <c r="H72" s="43">
        <v>0.4</v>
      </c>
      <c r="I72" s="44" t="b">
        <v>0</v>
      </c>
      <c r="J72" s="12" t="s">
        <v>366</v>
      </c>
      <c r="K72" s="43" t="s">
        <v>358</v>
      </c>
    </row>
    <row r="73">
      <c r="A73" s="41" t="s">
        <v>415</v>
      </c>
      <c r="B73" s="41" t="s">
        <v>287</v>
      </c>
      <c r="C73" s="41" t="s">
        <v>288</v>
      </c>
      <c r="D73" s="42">
        <v>12.0</v>
      </c>
      <c r="E73" s="43">
        <v>10.0</v>
      </c>
      <c r="F73" s="43">
        <v>21.0</v>
      </c>
      <c r="G73" s="43">
        <v>31.0</v>
      </c>
      <c r="H73" s="43">
        <v>0.354838709677419</v>
      </c>
      <c r="I73" s="44" t="b">
        <v>1</v>
      </c>
      <c r="J73" s="12" t="s">
        <v>366</v>
      </c>
      <c r="K73" s="43" t="s">
        <v>358</v>
      </c>
    </row>
    <row r="74">
      <c r="A74" s="41" t="s">
        <v>416</v>
      </c>
      <c r="B74" s="41" t="s">
        <v>147</v>
      </c>
      <c r="C74" s="41" t="s">
        <v>148</v>
      </c>
      <c r="D74" s="42">
        <v>12.0</v>
      </c>
      <c r="E74" s="43">
        <v>6.0</v>
      </c>
      <c r="F74" s="43">
        <v>3.0</v>
      </c>
      <c r="G74" s="43">
        <v>9.0</v>
      </c>
      <c r="H74" s="43">
        <v>0.333333333333333</v>
      </c>
      <c r="I74" s="44" t="b">
        <v>0</v>
      </c>
      <c r="J74" s="12" t="s">
        <v>366</v>
      </c>
      <c r="K74" s="43" t="s">
        <v>407</v>
      </c>
    </row>
    <row r="75">
      <c r="A75" s="41" t="s">
        <v>397</v>
      </c>
      <c r="B75" s="41" t="s">
        <v>267</v>
      </c>
      <c r="C75" s="41" t="s">
        <v>268</v>
      </c>
      <c r="D75" s="42">
        <v>12.0</v>
      </c>
      <c r="E75" s="43">
        <v>15.0</v>
      </c>
      <c r="F75" s="43">
        <v>11.0</v>
      </c>
      <c r="G75" s="43">
        <v>26.0</v>
      </c>
      <c r="H75" s="43">
        <v>0.153846153846153</v>
      </c>
      <c r="I75" s="44" t="b">
        <v>0</v>
      </c>
      <c r="J75" s="12" t="s">
        <v>393</v>
      </c>
      <c r="K75" s="43" t="s">
        <v>358</v>
      </c>
    </row>
    <row r="76">
      <c r="A76" s="41" t="s">
        <v>371</v>
      </c>
      <c r="B76" s="41" t="s">
        <v>153</v>
      </c>
      <c r="C76" s="41" t="s">
        <v>154</v>
      </c>
      <c r="D76" s="42">
        <v>12.0</v>
      </c>
      <c r="E76" s="43">
        <v>3.0</v>
      </c>
      <c r="F76" s="43">
        <v>6.0</v>
      </c>
      <c r="G76" s="43">
        <v>9.0</v>
      </c>
      <c r="H76" s="43">
        <v>0.333333333333333</v>
      </c>
      <c r="I76" s="44" t="b">
        <v>1</v>
      </c>
      <c r="J76" s="12" t="s">
        <v>366</v>
      </c>
      <c r="K76" s="43" t="s">
        <v>33</v>
      </c>
    </row>
    <row r="77">
      <c r="A77" s="41" t="s">
        <v>416</v>
      </c>
      <c r="B77" s="41" t="s">
        <v>289</v>
      </c>
      <c r="C77" s="41" t="s">
        <v>290</v>
      </c>
      <c r="D77" s="42">
        <v>12.0</v>
      </c>
      <c r="E77" s="43">
        <v>6.0</v>
      </c>
      <c r="F77" s="43">
        <v>3.0</v>
      </c>
      <c r="G77" s="43">
        <v>9.0</v>
      </c>
      <c r="H77" s="43">
        <v>0.333333333333333</v>
      </c>
      <c r="I77" s="44" t="b">
        <v>0</v>
      </c>
      <c r="J77" s="12" t="s">
        <v>366</v>
      </c>
      <c r="K77" s="43" t="s">
        <v>407</v>
      </c>
    </row>
    <row r="78">
      <c r="A78" s="41" t="s">
        <v>383</v>
      </c>
      <c r="B78" s="41" t="s">
        <v>184</v>
      </c>
      <c r="C78" s="41" t="s">
        <v>185</v>
      </c>
      <c r="D78" s="42">
        <v>12.0</v>
      </c>
      <c r="E78" s="43">
        <v>5.0</v>
      </c>
      <c r="F78" s="43">
        <v>3.0</v>
      </c>
      <c r="G78" s="43">
        <v>8.0</v>
      </c>
      <c r="H78" s="43">
        <v>0.25</v>
      </c>
      <c r="I78" s="44" t="b">
        <v>0</v>
      </c>
      <c r="J78" s="12" t="s">
        <v>366</v>
      </c>
      <c r="K78" s="43" t="s">
        <v>353</v>
      </c>
    </row>
    <row r="79">
      <c r="A79" s="41" t="s">
        <v>417</v>
      </c>
      <c r="B79" s="41" t="s">
        <v>120</v>
      </c>
      <c r="C79" s="41" t="s">
        <v>121</v>
      </c>
      <c r="D79" s="42">
        <v>12.0</v>
      </c>
      <c r="E79" s="43">
        <v>18.0</v>
      </c>
      <c r="F79" s="43">
        <v>11.0</v>
      </c>
      <c r="G79" s="43">
        <v>29.0</v>
      </c>
      <c r="H79" s="43">
        <v>0.241379310344827</v>
      </c>
      <c r="I79" s="44" t="b">
        <v>0</v>
      </c>
      <c r="J79" s="12" t="s">
        <v>366</v>
      </c>
      <c r="K79" s="43" t="s">
        <v>358</v>
      </c>
    </row>
    <row r="80">
      <c r="A80" s="41" t="s">
        <v>416</v>
      </c>
      <c r="B80" s="41" t="s">
        <v>253</v>
      </c>
      <c r="C80" s="41" t="s">
        <v>254</v>
      </c>
      <c r="D80" s="42">
        <v>12.0</v>
      </c>
      <c r="E80" s="43">
        <v>5.0</v>
      </c>
      <c r="F80" s="43">
        <v>3.0</v>
      </c>
      <c r="G80" s="43">
        <v>8.0</v>
      </c>
      <c r="H80" s="43">
        <v>0.25</v>
      </c>
      <c r="I80" s="44" t="b">
        <v>0</v>
      </c>
      <c r="J80" s="12" t="s">
        <v>366</v>
      </c>
      <c r="K80" s="43" t="s">
        <v>374</v>
      </c>
    </row>
    <row r="81">
      <c r="A81" s="41" t="s">
        <v>418</v>
      </c>
      <c r="B81" s="41" t="s">
        <v>129</v>
      </c>
      <c r="C81" s="41" t="s">
        <v>130</v>
      </c>
      <c r="D81" s="42">
        <v>12.0</v>
      </c>
      <c r="E81" s="43">
        <v>16.0</v>
      </c>
      <c r="F81" s="43">
        <v>10.0</v>
      </c>
      <c r="G81" s="43">
        <v>26.0</v>
      </c>
      <c r="H81" s="43">
        <v>0.23076923076923</v>
      </c>
      <c r="I81" s="44" t="b">
        <v>0</v>
      </c>
      <c r="J81" s="12" t="s">
        <v>366</v>
      </c>
      <c r="K81" s="43" t="s">
        <v>355</v>
      </c>
    </row>
    <row r="82">
      <c r="A82" s="41" t="s">
        <v>369</v>
      </c>
      <c r="B82" s="41" t="s">
        <v>149</v>
      </c>
      <c r="C82" s="41" t="s">
        <v>150</v>
      </c>
      <c r="D82" s="42">
        <v>12.0</v>
      </c>
      <c r="E82" s="43">
        <v>7.0</v>
      </c>
      <c r="F82" s="43">
        <v>31.0</v>
      </c>
      <c r="G82" s="43">
        <v>38.0</v>
      </c>
      <c r="H82" s="43">
        <v>0.631578947368421</v>
      </c>
      <c r="I82" s="44" t="b">
        <v>1</v>
      </c>
      <c r="J82" s="12" t="s">
        <v>365</v>
      </c>
      <c r="K82" s="43" t="s">
        <v>358</v>
      </c>
    </row>
    <row r="83">
      <c r="A83" s="41" t="s">
        <v>419</v>
      </c>
      <c r="B83" s="41" t="s">
        <v>179</v>
      </c>
      <c r="C83" s="41" t="s">
        <v>180</v>
      </c>
      <c r="D83" s="42">
        <v>12.0</v>
      </c>
      <c r="E83" s="43">
        <v>14.0</v>
      </c>
      <c r="F83" s="43">
        <v>10.0</v>
      </c>
      <c r="G83" s="43">
        <v>24.0</v>
      </c>
      <c r="H83" s="43">
        <v>0.166666666666666</v>
      </c>
      <c r="I83" s="44" t="b">
        <v>0</v>
      </c>
      <c r="J83" s="12" t="s">
        <v>393</v>
      </c>
      <c r="K83" s="43" t="s">
        <v>368</v>
      </c>
    </row>
    <row r="84">
      <c r="A84" s="41" t="s">
        <v>420</v>
      </c>
      <c r="B84" s="41" t="s">
        <v>155</v>
      </c>
      <c r="C84" s="41" t="s">
        <v>156</v>
      </c>
      <c r="D84" s="42">
        <v>12.0</v>
      </c>
      <c r="E84" s="43">
        <v>5.0</v>
      </c>
      <c r="F84" s="43">
        <v>4.0</v>
      </c>
      <c r="G84" s="43">
        <v>9.0</v>
      </c>
      <c r="H84" s="43">
        <v>0.111111111111111</v>
      </c>
      <c r="I84" s="44" t="b">
        <v>0</v>
      </c>
      <c r="J84" s="12" t="s">
        <v>393</v>
      </c>
      <c r="K84" s="43" t="s">
        <v>385</v>
      </c>
    </row>
    <row r="85">
      <c r="A85" s="41" t="s">
        <v>421</v>
      </c>
      <c r="B85" s="41" t="s">
        <v>293</v>
      </c>
      <c r="C85" s="41" t="s">
        <v>294</v>
      </c>
      <c r="D85" s="42">
        <v>12.0</v>
      </c>
      <c r="E85" s="43">
        <v>5.0</v>
      </c>
      <c r="F85" s="43">
        <v>4.0</v>
      </c>
      <c r="G85" s="43">
        <v>9.0</v>
      </c>
      <c r="H85" s="43">
        <v>0.111111111111111</v>
      </c>
      <c r="I85" s="44" t="b">
        <v>0</v>
      </c>
      <c r="J85" s="12" t="s">
        <v>393</v>
      </c>
      <c r="K85" s="43" t="s">
        <v>388</v>
      </c>
    </row>
    <row r="86">
      <c r="A86" s="41" t="s">
        <v>422</v>
      </c>
      <c r="B86" s="41" t="s">
        <v>277</v>
      </c>
      <c r="C86" s="41" t="s">
        <v>278</v>
      </c>
      <c r="D86" s="42">
        <v>12.0</v>
      </c>
      <c r="E86" s="43">
        <v>5.0</v>
      </c>
      <c r="F86" s="43">
        <v>4.0</v>
      </c>
      <c r="G86" s="43">
        <v>9.0</v>
      </c>
      <c r="H86" s="43">
        <v>0.111111111111111</v>
      </c>
      <c r="I86" s="44" t="b">
        <v>0</v>
      </c>
      <c r="J86" s="12" t="s">
        <v>393</v>
      </c>
      <c r="K86" s="43" t="s">
        <v>372</v>
      </c>
    </row>
    <row r="87">
      <c r="A87" s="41" t="s">
        <v>386</v>
      </c>
      <c r="B87" s="41" t="s">
        <v>241</v>
      </c>
      <c r="C87" s="41" t="s">
        <v>242</v>
      </c>
      <c r="D87" s="42">
        <v>12.0</v>
      </c>
      <c r="E87" s="43">
        <v>13.0</v>
      </c>
      <c r="F87" s="43">
        <v>20.0</v>
      </c>
      <c r="G87" s="43">
        <v>33.0</v>
      </c>
      <c r="H87" s="43">
        <v>0.212121212121212</v>
      </c>
      <c r="I87" s="44" t="b">
        <v>1</v>
      </c>
      <c r="J87" s="12" t="s">
        <v>366</v>
      </c>
      <c r="K87" s="43" t="s">
        <v>358</v>
      </c>
    </row>
    <row r="88">
      <c r="A88" s="41" t="s">
        <v>363</v>
      </c>
      <c r="B88" s="41" t="s">
        <v>221</v>
      </c>
      <c r="C88" s="41" t="s">
        <v>222</v>
      </c>
      <c r="D88" s="42">
        <v>12.0</v>
      </c>
      <c r="E88" s="43">
        <v>7.0</v>
      </c>
      <c r="F88" s="43">
        <v>2.0</v>
      </c>
      <c r="G88" s="43">
        <v>9.0</v>
      </c>
      <c r="H88" s="43">
        <v>0.555555555555555</v>
      </c>
      <c r="I88" s="44" t="b">
        <v>0</v>
      </c>
      <c r="J88" s="12" t="s">
        <v>357</v>
      </c>
      <c r="K88" s="43" t="s">
        <v>358</v>
      </c>
    </row>
    <row r="89">
      <c r="A89" s="41" t="s">
        <v>405</v>
      </c>
      <c r="B89" s="41" t="s">
        <v>259</v>
      </c>
      <c r="C89" s="41" t="s">
        <v>260</v>
      </c>
      <c r="D89" s="42">
        <v>12.0</v>
      </c>
      <c r="E89" s="43">
        <v>5.0</v>
      </c>
      <c r="F89" s="43">
        <v>4.0</v>
      </c>
      <c r="G89" s="43">
        <v>9.0</v>
      </c>
      <c r="H89" s="43">
        <v>0.111111111111111</v>
      </c>
      <c r="I89" s="44" t="b">
        <v>0</v>
      </c>
      <c r="J89" s="12" t="s">
        <v>393</v>
      </c>
      <c r="K89" s="43" t="s">
        <v>395</v>
      </c>
    </row>
    <row r="90">
      <c r="A90" s="41" t="s">
        <v>397</v>
      </c>
      <c r="B90" s="41" t="s">
        <v>103</v>
      </c>
      <c r="C90" s="41" t="s">
        <v>104</v>
      </c>
      <c r="D90" s="42">
        <v>12.0</v>
      </c>
      <c r="E90" s="43">
        <v>5.0</v>
      </c>
      <c r="F90" s="43">
        <v>4.0</v>
      </c>
      <c r="G90" s="43">
        <v>9.0</v>
      </c>
      <c r="H90" s="43">
        <v>0.111111111111111</v>
      </c>
      <c r="I90" s="44" t="b">
        <v>0</v>
      </c>
      <c r="J90" s="12" t="s">
        <v>393</v>
      </c>
      <c r="K90" s="43" t="s">
        <v>377</v>
      </c>
    </row>
    <row r="91">
      <c r="A91" s="41" t="s">
        <v>361</v>
      </c>
      <c r="B91" s="41" t="s">
        <v>138</v>
      </c>
      <c r="C91" s="41" t="s">
        <v>139</v>
      </c>
      <c r="D91" s="42">
        <v>12.0</v>
      </c>
      <c r="E91" s="43">
        <v>5.0</v>
      </c>
      <c r="F91" s="43">
        <v>4.0</v>
      </c>
      <c r="G91" s="43">
        <v>9.0</v>
      </c>
      <c r="H91" s="43">
        <v>0.111111111111111</v>
      </c>
      <c r="I91" s="44" t="b">
        <v>0</v>
      </c>
      <c r="J91" s="12" t="s">
        <v>393</v>
      </c>
      <c r="K91" s="43" t="s">
        <v>377</v>
      </c>
    </row>
    <row r="92">
      <c r="A92" s="41" t="s">
        <v>397</v>
      </c>
      <c r="B92" s="41" t="s">
        <v>175</v>
      </c>
      <c r="C92" s="41" t="s">
        <v>176</v>
      </c>
      <c r="D92" s="42">
        <v>12.0</v>
      </c>
      <c r="E92" s="43">
        <v>14.0</v>
      </c>
      <c r="F92" s="43">
        <v>13.0</v>
      </c>
      <c r="G92" s="43">
        <v>27.0</v>
      </c>
      <c r="H92" s="43">
        <v>0.037037037037037</v>
      </c>
      <c r="I92" s="44" t="b">
        <v>0</v>
      </c>
      <c r="J92" s="12" t="s">
        <v>393</v>
      </c>
      <c r="K92" s="43" t="s">
        <v>358</v>
      </c>
    </row>
    <row r="93">
      <c r="A93" s="41" t="s">
        <v>394</v>
      </c>
      <c r="B93" s="41" t="s">
        <v>269</v>
      </c>
      <c r="C93" s="41" t="s">
        <v>270</v>
      </c>
      <c r="D93" s="42">
        <v>12.0</v>
      </c>
      <c r="E93" s="43">
        <v>5.0</v>
      </c>
      <c r="F93" s="43">
        <v>4.0</v>
      </c>
      <c r="G93" s="43">
        <v>9.0</v>
      </c>
      <c r="H93" s="43">
        <v>0.111111111111111</v>
      </c>
      <c r="I93" s="44" t="b">
        <v>0</v>
      </c>
      <c r="J93" s="12" t="s">
        <v>393</v>
      </c>
      <c r="K93" s="43" t="s">
        <v>33</v>
      </c>
    </row>
    <row r="94">
      <c r="A94" s="41" t="s">
        <v>423</v>
      </c>
      <c r="B94" s="41" t="s">
        <v>161</v>
      </c>
      <c r="C94" s="41" t="s">
        <v>162</v>
      </c>
      <c r="D94" s="42">
        <v>12.0</v>
      </c>
      <c r="E94" s="43">
        <v>5.0</v>
      </c>
      <c r="F94" s="43">
        <v>4.0</v>
      </c>
      <c r="G94" s="43">
        <v>9.0</v>
      </c>
      <c r="H94" s="43">
        <v>0.111111111111111</v>
      </c>
      <c r="I94" s="44" t="b">
        <v>0</v>
      </c>
      <c r="J94" s="12" t="s">
        <v>393</v>
      </c>
      <c r="K94" s="43" t="s">
        <v>33</v>
      </c>
    </row>
    <row r="95">
      <c r="A95" s="41" t="s">
        <v>382</v>
      </c>
      <c r="B95" s="41" t="s">
        <v>233</v>
      </c>
      <c r="C95" s="41" t="s">
        <v>234</v>
      </c>
      <c r="D95" s="42">
        <v>12.0</v>
      </c>
      <c r="E95" s="43">
        <v>20.0</v>
      </c>
      <c r="F95" s="43">
        <v>6.0</v>
      </c>
      <c r="G95" s="43">
        <v>26.0</v>
      </c>
      <c r="H95" s="43">
        <v>0.538461538461538</v>
      </c>
      <c r="I95" s="44" t="b">
        <v>0</v>
      </c>
      <c r="J95" s="12" t="s">
        <v>357</v>
      </c>
      <c r="K95" s="43" t="s">
        <v>358</v>
      </c>
    </row>
    <row r="96">
      <c r="A96" s="41" t="s">
        <v>409</v>
      </c>
      <c r="B96" s="41" t="s">
        <v>263</v>
      </c>
      <c r="C96" s="41" t="s">
        <v>264</v>
      </c>
      <c r="D96" s="42">
        <v>12.0</v>
      </c>
      <c r="E96" s="43">
        <v>19.0</v>
      </c>
      <c r="F96" s="43">
        <v>11.0</v>
      </c>
      <c r="G96" s="43">
        <v>30.0</v>
      </c>
      <c r="H96" s="43">
        <v>0.266666666666666</v>
      </c>
      <c r="I96" s="44" t="b">
        <v>0</v>
      </c>
      <c r="J96" s="12" t="s">
        <v>366</v>
      </c>
      <c r="K96" s="43" t="s">
        <v>358</v>
      </c>
    </row>
    <row r="97">
      <c r="A97" s="41" t="s">
        <v>364</v>
      </c>
      <c r="B97" s="41" t="s">
        <v>271</v>
      </c>
      <c r="C97" s="41" t="s">
        <v>272</v>
      </c>
      <c r="D97" s="42">
        <v>12.0</v>
      </c>
      <c r="E97" s="43">
        <v>5.0</v>
      </c>
      <c r="F97" s="43">
        <v>4.0</v>
      </c>
      <c r="G97" s="43">
        <v>9.0</v>
      </c>
      <c r="H97" s="43">
        <v>0.111111111111111</v>
      </c>
      <c r="I97" s="44" t="b">
        <v>0</v>
      </c>
      <c r="J97" s="12" t="s">
        <v>393</v>
      </c>
      <c r="K97" s="43" t="s">
        <v>360</v>
      </c>
    </row>
    <row r="98">
      <c r="A98" s="41" t="s">
        <v>364</v>
      </c>
      <c r="B98" s="41" t="s">
        <v>245</v>
      </c>
      <c r="C98" s="41" t="s">
        <v>246</v>
      </c>
      <c r="D98" s="42">
        <v>12.0</v>
      </c>
      <c r="E98" s="43">
        <v>4.0</v>
      </c>
      <c r="F98" s="43">
        <v>5.0</v>
      </c>
      <c r="G98" s="43">
        <v>9.0</v>
      </c>
      <c r="H98" s="43">
        <v>0.111111111111111</v>
      </c>
      <c r="I98" s="44" t="b">
        <v>1</v>
      </c>
      <c r="J98" s="12" t="s">
        <v>393</v>
      </c>
      <c r="K98" s="43" t="s">
        <v>353</v>
      </c>
    </row>
    <row r="99">
      <c r="A99" s="41" t="s">
        <v>418</v>
      </c>
      <c r="B99" s="41" t="s">
        <v>202</v>
      </c>
      <c r="C99" s="41" t="s">
        <v>203</v>
      </c>
      <c r="D99" s="42">
        <v>12.0</v>
      </c>
      <c r="E99" s="43">
        <v>5.0</v>
      </c>
      <c r="F99" s="43">
        <v>4.0</v>
      </c>
      <c r="G99" s="43">
        <v>9.0</v>
      </c>
      <c r="H99" s="43">
        <v>0.111111111111111</v>
      </c>
      <c r="I99" s="44" t="b">
        <v>0</v>
      </c>
      <c r="J99" s="12" t="s">
        <v>393</v>
      </c>
      <c r="K99" s="43" t="s">
        <v>355</v>
      </c>
    </row>
    <row r="100">
      <c r="A100" s="41" t="s">
        <v>424</v>
      </c>
      <c r="B100" s="41" t="s">
        <v>96</v>
      </c>
      <c r="C100" s="41" t="s">
        <v>97</v>
      </c>
      <c r="D100" s="42">
        <v>12.0</v>
      </c>
      <c r="E100" s="43">
        <v>5.0</v>
      </c>
      <c r="F100" s="43">
        <v>4.0</v>
      </c>
      <c r="G100" s="43">
        <v>9.0</v>
      </c>
      <c r="H100" s="43">
        <v>0.111111111111111</v>
      </c>
      <c r="I100" s="44" t="b">
        <v>0</v>
      </c>
      <c r="J100" s="12" t="s">
        <v>393</v>
      </c>
      <c r="K100" s="43" t="s">
        <v>33</v>
      </c>
    </row>
    <row r="101">
      <c r="A101" s="41" t="s">
        <v>417</v>
      </c>
      <c r="B101" s="41" t="s">
        <v>295</v>
      </c>
      <c r="C101" s="41" t="s">
        <v>296</v>
      </c>
      <c r="D101" s="42">
        <v>12.0</v>
      </c>
      <c r="E101" s="43">
        <v>13.0</v>
      </c>
      <c r="F101" s="43">
        <v>11.0</v>
      </c>
      <c r="G101" s="43">
        <v>24.0</v>
      </c>
      <c r="H101" s="43">
        <v>0.0833333333333333</v>
      </c>
      <c r="I101" s="44" t="b">
        <v>0</v>
      </c>
      <c r="J101" s="12" t="s">
        <v>393</v>
      </c>
      <c r="K101" s="43" t="s">
        <v>360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7C3"/>
    <outlinePr summaryBelow="0" summaryRight="0"/>
  </sheetPr>
  <sheetViews>
    <sheetView workbookViewId="0"/>
  </sheetViews>
  <sheetFormatPr customHeight="1" defaultColWidth="12.63" defaultRowHeight="15.75"/>
  <cols>
    <col customWidth="1" min="2" max="2" width="53.13"/>
    <col customWidth="1" min="3" max="3" width="21.75"/>
    <col customWidth="1" min="6" max="6" width="14.38"/>
    <col customWidth="1" min="8" max="8" width="12.75"/>
    <col customWidth="1" hidden="1" min="10" max="10" width="7.5"/>
    <col customWidth="1" hidden="1" min="11" max="11" width="7.75"/>
    <col customWidth="1" hidden="1" min="12" max="12" width="7.25"/>
    <col customWidth="1" hidden="1" min="13" max="13" width="6.25"/>
    <col customWidth="1" hidden="1" min="14" max="14" width="8.38"/>
    <col customWidth="1" hidden="1" min="15" max="15" width="23.88"/>
    <col customWidth="1" min="16" max="16" width="39.75"/>
  </cols>
  <sheetData>
    <row r="1">
      <c r="A1" s="29" t="s">
        <v>90</v>
      </c>
      <c r="B1" s="30" t="s">
        <v>91</v>
      </c>
      <c r="C1" s="45" t="s">
        <v>425</v>
      </c>
      <c r="D1" s="46" t="s">
        <v>62</v>
      </c>
      <c r="E1" s="45" t="s">
        <v>63</v>
      </c>
      <c r="F1" s="45" t="s">
        <v>64</v>
      </c>
      <c r="G1" s="45" t="s">
        <v>65</v>
      </c>
      <c r="H1" s="46" t="s">
        <v>66</v>
      </c>
      <c r="I1" s="47" t="s">
        <v>426</v>
      </c>
      <c r="J1" s="46" t="s">
        <v>62</v>
      </c>
      <c r="K1" s="45" t="s">
        <v>63</v>
      </c>
      <c r="L1" s="45" t="s">
        <v>64</v>
      </c>
      <c r="M1" s="45" t="s">
        <v>65</v>
      </c>
      <c r="N1" s="46" t="s">
        <v>66</v>
      </c>
      <c r="O1" s="47" t="s">
        <v>427</v>
      </c>
      <c r="P1" s="47" t="str">
        <f t="array" ref="P1:P101">O:O</f>
        <v>Comments</v>
      </c>
      <c r="Q1" s="48" t="s">
        <v>428</v>
      </c>
      <c r="R1" s="23" t="s">
        <v>429</v>
      </c>
      <c r="S1" s="23" t="s">
        <v>430</v>
      </c>
      <c r="T1" s="23" t="s">
        <v>431</v>
      </c>
    </row>
    <row r="2">
      <c r="A2" s="12" t="str">
        <f>IFERROR(__xludf.DUMMYFUNCTION("QUERY(Source!B2:C101,""SELECT B, C"", 1)"),"039e770089eb0cbfb193a3ae3fadb893")</f>
        <v>039e770089eb0cbfb193a3ae3fadb893</v>
      </c>
      <c r="B2" s="12" t="str">
        <f>IFERROR(__xludf.DUMMYFUNCTION("""COMPUTED_VALUE"""),"International donors increased their involvement in waste management during the last few years and this resulted in improvements in management of obsolete pesticides and expired chemicals, but management of municipal and manufacturing waste is developing "&amp;"slowly and old practices remain. This development reduced generated amounts of waste and in some sectors also decreased the amount of waste previously accumulated. The development of modem waste management infrastructure is still in the initial phase.")</f>
        <v>International donors increased their involvement in waste management during the last few years and this resulted in improvements in management of obsolete pesticides and expired chemicals, but management of municipal and manufacturing waste is developing slowly and old practices remain. This development reduced generated amounts of waste and in some sectors also decreased the amount of waste previously accumulated. The development of modem waste management infrastructure is still in the initial phase.</v>
      </c>
      <c r="C2" s="49"/>
      <c r="D2" s="49" t="b">
        <f t="shared" ref="D2:H2" si="1">VLOOKUP($A2, INDIRECT(D$1&amp;"!A:C"), 3, FALSE)</f>
        <v>1</v>
      </c>
      <c r="E2" s="49" t="str">
        <f t="shared" si="1"/>
        <v>TO DO</v>
      </c>
      <c r="F2" s="49" t="str">
        <f t="shared" si="1"/>
        <v>TO DO</v>
      </c>
      <c r="G2" s="49" t="b">
        <f t="shared" si="1"/>
        <v>1</v>
      </c>
      <c r="H2" s="49" t="b">
        <f t="shared" si="1"/>
        <v>1</v>
      </c>
      <c r="I2" s="50">
        <f t="shared" ref="I2:I101" si="4">IF(COUNTA(D2:H2)=COUNTIF(D2:H2, "TO DO"), 0, ABS((COUNTIF(D2:H2,"TRUE")-COUNTIF(D2:H2, "FALSE")) / (COUNTA(D2:H2)-COUNTIF(D2:H2, "TO DO"))))</f>
        <v>1</v>
      </c>
      <c r="J2" s="51" t="str">
        <f t="shared" ref="J2:N2" si="2">VLOOKUP($A2, INDIRECT(J$1&amp;"!A:D"), 4, FALSE)</f>
        <v/>
      </c>
      <c r="K2" s="51" t="str">
        <f t="shared" si="2"/>
        <v/>
      </c>
      <c r="L2" s="51" t="str">
        <f t="shared" si="2"/>
        <v/>
      </c>
      <c r="M2" s="51" t="str">
        <f t="shared" si="2"/>
        <v/>
      </c>
      <c r="N2" s="51" t="str">
        <f t="shared" si="2"/>
        <v/>
      </c>
      <c r="O2" s="50" t="str">
        <f>IFERROR(__xludf.DUMMYFUNCTION("IF(COUNTA(J2:N2)=0, """", ARRAYFORMULA(""- ""&amp;TEXTJOIN(char(10)&amp;""- "", TRUE, FILTER(J$1:N$1&amp;"": ""&amp;J2:N2, NOT(ISBLANK(J2:N2))))))"),"")</f>
        <v/>
      </c>
      <c r="P2" s="50" t="s">
        <v>432</v>
      </c>
      <c r="Q2" s="52" t="b">
        <f t="shared" ref="Q2:Q33" si="6">IF(I2=1, D2, "UNDECIDED")</f>
        <v>1</v>
      </c>
      <c r="R2" s="24">
        <f t="shared" ref="R2:R101" si="7">5-COUNTIF(D2:H2, "TO DO")</f>
        <v>3</v>
      </c>
    </row>
    <row r="3">
      <c r="A3" s="12" t="str">
        <f>IFERROR(__xludf.DUMMYFUNCTION("""COMPUTED_VALUE"""),"0963ea06d1b60ca64affa94911f329d2")</f>
        <v>0963ea06d1b60ca64affa94911f329d2</v>
      </c>
      <c r="B3" s="12" t="str">
        <f>IFERROR(__xludf.DUMMYFUNCTION("""COMPUTED_VALUE"""),"In response, international organizations such as the UN Development Programme (UNDP), the UN Environment Programme (UNEP) and the Organisation for Economic Co-operation and Development (OECD) have promoted the exchange of policy initiatives, action progra"&amp;"mmes and practices among member countries, industrial associations and academic institutions. For example, UNEP introduced cleaner production (CP), which promotes a shift from end-of-pipe treatment to pollution prevention, while the UNDP has appealed for "&amp;"environmentally sound technology in technology transfer programmes and assistance to developing countries. In the follow-up meeting after the Rio Declaration and Agenda 21, the International Human Dimensions Programme (IHDP) was established as a collabora"&amp;"tive platform for social scientists and policy-oriented academics.")</f>
        <v>In response, international organizations such as the UN Development Programme (UNDP), the UN Environment Programme (UNEP) and the Organisation for Economic Co-operation and Development (OECD) have promoted the exchange of policy initiatives, action programmes and practices among member countries, industrial associations and academic institutions. For example, UNEP introduced cleaner production (CP), which promotes a shift from end-of-pipe treatment to pollution prevention, while the UNDP has appealed for environmentally sound technology in technology transfer programmes and assistance to developing countries. In the follow-up meeting after the Rio Declaration and Agenda 21, the International Human Dimensions Programme (IHDP) was established as a collaborative platform for social scientists and policy-oriented academics.</v>
      </c>
      <c r="C3" s="7"/>
      <c r="D3" s="49" t="b">
        <f t="shared" ref="D3:H3" si="3">VLOOKUP($A3, INDIRECT(D$1&amp;"!A:C"), 3, FALSE)</f>
        <v>1</v>
      </c>
      <c r="E3" s="49" t="b">
        <f t="shared" si="3"/>
        <v>1</v>
      </c>
      <c r="F3" s="49" t="str">
        <f t="shared" si="3"/>
        <v>TO DO</v>
      </c>
      <c r="G3" s="49" t="b">
        <f t="shared" si="3"/>
        <v>1</v>
      </c>
      <c r="H3" s="49" t="b">
        <f t="shared" si="3"/>
        <v>1</v>
      </c>
      <c r="I3" s="50">
        <f t="shared" si="4"/>
        <v>1</v>
      </c>
      <c r="J3" s="51" t="str">
        <f t="shared" ref="J3:N3" si="5">VLOOKUP($A3, INDIRECT(J$1&amp;"!A:D"), 4, FALSE)</f>
        <v/>
      </c>
      <c r="K3" s="51" t="str">
        <f t="shared" si="5"/>
        <v/>
      </c>
      <c r="L3" s="51" t="str">
        <f t="shared" si="5"/>
        <v/>
      </c>
      <c r="M3" s="51" t="str">
        <f t="shared" si="5"/>
        <v/>
      </c>
      <c r="N3" s="51" t="str">
        <f t="shared" si="5"/>
        <v/>
      </c>
      <c r="O3" s="50" t="str">
        <f>IFERROR(__xludf.DUMMYFUNCTION("IF(COUNTA(J3:N3)=0, """", ARRAYFORMULA(""- ""&amp;TEXTJOIN(char(10)&amp;""- "", TRUE, FILTER(J$1:N$1&amp;"": ""&amp;J3:N3, NOT(ISBLANK(J3:N3))))))"),"")</f>
        <v/>
      </c>
      <c r="P3" s="50" t="s">
        <v>432</v>
      </c>
      <c r="Q3" s="52" t="b">
        <f t="shared" si="6"/>
        <v>1</v>
      </c>
      <c r="R3" s="24">
        <f t="shared" si="7"/>
        <v>4</v>
      </c>
    </row>
    <row r="4">
      <c r="A4" s="12" t="str">
        <f>IFERROR(__xludf.DUMMYFUNCTION("""COMPUTED_VALUE"""),"0342980e48fbffd359a20628d9450485")</f>
        <v>0342980e48fbffd359a20628d9450485</v>
      </c>
      <c r="B4" s="12" t="str">
        <f>IFERROR(__xludf.DUMMYFUNCTION("""COMPUTED_VALUE"""),"Mauritius covers a total land area of 720 square miles, and is almost entirely of volcanic origin, except for stretches of beaches, coral reefs and small patches of alluvium at the mouths of rivers. Pear-shaped, mountainous with its highest peak standing "&amp;"at 2,711 feet above sea level, Mauritius emerged from the ocean floor some 5 million years ago. Volcanic activity over thousands of years has given rise to varied types of soil.")</f>
        <v>Mauritius covers a total land area of 720 square miles, and is almost entirely of volcanic origin, except for stretches of beaches, coral reefs and small patches of alluvium at the mouths of rivers. Pear-shaped, mountainous with its highest peak standing at 2,711 feet above sea level, Mauritius emerged from the ocean floor some 5 million years ago. Volcanic activity over thousands of years has given rise to varied types of soil.</v>
      </c>
      <c r="C4" s="49"/>
      <c r="D4" s="49" t="b">
        <f t="shared" ref="D4:H4" si="8">VLOOKUP($A4, INDIRECT(D$1&amp;"!A:C"), 3, FALSE)</f>
        <v>0</v>
      </c>
      <c r="E4" s="49" t="str">
        <f t="shared" si="8"/>
        <v>TO DO</v>
      </c>
      <c r="F4" s="49" t="str">
        <f t="shared" si="8"/>
        <v>TO DO</v>
      </c>
      <c r="G4" s="49" t="b">
        <f t="shared" si="8"/>
        <v>0</v>
      </c>
      <c r="H4" s="49" t="b">
        <f t="shared" si="8"/>
        <v>0</v>
      </c>
      <c r="I4" s="50">
        <f t="shared" si="4"/>
        <v>1</v>
      </c>
      <c r="J4" s="51" t="str">
        <f t="shared" ref="J4:N4" si="9">VLOOKUP($A4, INDIRECT(J$1&amp;"!A:D"), 4, FALSE)</f>
        <v/>
      </c>
      <c r="K4" s="51" t="str">
        <f t="shared" si="9"/>
        <v/>
      </c>
      <c r="L4" s="51" t="str">
        <f t="shared" si="9"/>
        <v/>
      </c>
      <c r="M4" s="51" t="str">
        <f t="shared" si="9"/>
        <v/>
      </c>
      <c r="N4" s="51" t="str">
        <f t="shared" si="9"/>
        <v/>
      </c>
      <c r="O4" s="50" t="str">
        <f>IFERROR(__xludf.DUMMYFUNCTION("IF(COUNTA(J4:N4)=0, """", ARRAYFORMULA(""- ""&amp;TEXTJOIN(char(10)&amp;""- "", TRUE, FILTER(J$1:N$1&amp;"": ""&amp;J4:N4, NOT(ISBLANK(J4:N4))))))"),"")</f>
        <v/>
      </c>
      <c r="P4" s="50" t="s">
        <v>432</v>
      </c>
      <c r="Q4" s="52" t="b">
        <f t="shared" si="6"/>
        <v>0</v>
      </c>
      <c r="R4" s="24">
        <f t="shared" si="7"/>
        <v>3</v>
      </c>
    </row>
    <row r="5">
      <c r="A5" s="12" t="str">
        <f>IFERROR(__xludf.DUMMYFUNCTION("""COMPUTED_VALUE"""),"14ddb3509efb3be82081e905f697dba3")</f>
        <v>14ddb3509efb3be82081e905f697dba3</v>
      </c>
      <c r="B5" s="12" t="str">
        <f>IFERROR(__xludf.DUMMYFUNCTION("""COMPUTED_VALUE"""),"The strategy's objectives are to sensitize and raise awareness among school children of the negative impact that using plastic bags has on the environment, to encourage schoolchildren to replace plastic bags with other less-polluting alternatives and to t"&amp;"each them how to properly dispose of plastic bags after use. A key event was organized for Earth Day 2010 in all the schools, and a guide to waste management was widely distributed at the event. The children not only participated in collecting plastic bag"&amp;"s at nature sites and clean-up projects, but were also asked to pass on what they learned to friends and neighbours.")</f>
        <v>The strategy's objectives are to sensitize and raise awareness among school children of the negative impact that using plastic bags has on the environment, to encourage schoolchildren to replace plastic bags with other less-polluting alternatives and to teach them how to properly dispose of plastic bags after use. A key event was organized for Earth Day 2010 in all the schools, and a guide to waste management was widely distributed at the event. The children not only participated in collecting plastic bags at nature sites and clean-up projects, but were also asked to pass on what they learned to friends and neighbours.</v>
      </c>
      <c r="C5" s="7"/>
      <c r="D5" s="49" t="b">
        <f t="shared" ref="D5:H5" si="10">VLOOKUP($A5, INDIRECT(D$1&amp;"!A:C"), 3, FALSE)</f>
        <v>1</v>
      </c>
      <c r="E5" s="49" t="str">
        <f t="shared" si="10"/>
        <v>TO DO</v>
      </c>
      <c r="F5" s="49" t="str">
        <f t="shared" si="10"/>
        <v>TO DO</v>
      </c>
      <c r="G5" s="49" t="b">
        <f t="shared" si="10"/>
        <v>1</v>
      </c>
      <c r="H5" s="49" t="b">
        <f t="shared" si="10"/>
        <v>1</v>
      </c>
      <c r="I5" s="50">
        <f t="shared" si="4"/>
        <v>1</v>
      </c>
      <c r="J5" s="51" t="str">
        <f t="shared" ref="J5:N5" si="11">VLOOKUP($A5, INDIRECT(J$1&amp;"!A:D"), 4, FALSE)</f>
        <v/>
      </c>
      <c r="K5" s="51" t="str">
        <f t="shared" si="11"/>
        <v/>
      </c>
      <c r="L5" s="51" t="str">
        <f t="shared" si="11"/>
        <v/>
      </c>
      <c r="M5" s="51" t="str">
        <f t="shared" si="11"/>
        <v/>
      </c>
      <c r="N5" s="51" t="str">
        <f t="shared" si="11"/>
        <v/>
      </c>
      <c r="O5" s="50" t="str">
        <f>IFERROR(__xludf.DUMMYFUNCTION("IF(COUNTA(J5:N5)=0, """", ARRAYFORMULA(""- ""&amp;TEXTJOIN(char(10)&amp;""- "", TRUE, FILTER(J$1:N$1&amp;"": ""&amp;J5:N5, NOT(ISBLANK(J5:N5))))))"),"")</f>
        <v/>
      </c>
      <c r="P5" s="50" t="s">
        <v>432</v>
      </c>
      <c r="Q5" s="52" t="b">
        <f t="shared" si="6"/>
        <v>1</v>
      </c>
      <c r="R5" s="24">
        <f t="shared" si="7"/>
        <v>3</v>
      </c>
    </row>
    <row r="6">
      <c r="A6" s="12" t="str">
        <f>IFERROR(__xludf.DUMMYFUNCTION("""COMPUTED_VALUE"""),"18900ef1e2742e858bbed6264b3a046c")</f>
        <v>18900ef1e2742e858bbed6264b3a046c</v>
      </c>
      <c r="B6" s="12" t="str">
        <f>IFERROR(__xludf.DUMMYFUNCTION("""COMPUTED_VALUE"""),"It is therefore evident that current patterns of consumption and production are environmentally unsustainable and socially inequitable. Economic growth, human development and wellbeing would need to be substantially decoupled from resource use and environ"&amp;"mental impact (UNEP, 2011). Achieving gains in decoupling will not happen spontaneously, but will require well designed public policies that enable economic restructuring toward sustainable consumption and production and resource efficiency.")</f>
        <v>It is therefore evident that current patterns of consumption and production are environmentally unsustainable and socially inequitable. Economic growth, human development and wellbeing would need to be substantially decoupled from resource use and environmental impact (UNEP, 2011). Achieving gains in decoupling will not happen spontaneously, but will require well designed public policies that enable economic restructuring toward sustainable consumption and production and resource efficiency.</v>
      </c>
      <c r="C6" s="7"/>
      <c r="D6" s="49" t="b">
        <f t="shared" ref="D6:H6" si="12">VLOOKUP($A6, INDIRECT(D$1&amp;"!A:C"), 3, FALSE)</f>
        <v>1</v>
      </c>
      <c r="E6" s="49" t="str">
        <f t="shared" si="12"/>
        <v>TO DO</v>
      </c>
      <c r="F6" s="49" t="str">
        <f t="shared" si="12"/>
        <v>TO DO</v>
      </c>
      <c r="G6" s="49" t="b">
        <f t="shared" si="12"/>
        <v>1</v>
      </c>
      <c r="H6" s="49" t="b">
        <f t="shared" si="12"/>
        <v>1</v>
      </c>
      <c r="I6" s="50">
        <f t="shared" si="4"/>
        <v>1</v>
      </c>
      <c r="J6" s="51" t="str">
        <f t="shared" ref="J6:N6" si="13">VLOOKUP($A6, INDIRECT(J$1&amp;"!A:D"), 4, FALSE)</f>
        <v/>
      </c>
      <c r="K6" s="51" t="str">
        <f t="shared" si="13"/>
        <v/>
      </c>
      <c r="L6" s="51" t="str">
        <f t="shared" si="13"/>
        <v/>
      </c>
      <c r="M6" s="51" t="str">
        <f t="shared" si="13"/>
        <v/>
      </c>
      <c r="N6" s="51" t="str">
        <f t="shared" si="13"/>
        <v/>
      </c>
      <c r="O6" s="50" t="str">
        <f>IFERROR(__xludf.DUMMYFUNCTION("IF(COUNTA(J6:N6)=0, """", ARRAYFORMULA(""- ""&amp;TEXTJOIN(char(10)&amp;""- "", TRUE, FILTER(J$1:N$1&amp;"": ""&amp;J6:N6, NOT(ISBLANK(J6:N6))))))"),"")</f>
        <v/>
      </c>
      <c r="P6" s="50" t="s">
        <v>432</v>
      </c>
      <c r="Q6" s="52" t="b">
        <f t="shared" si="6"/>
        <v>1</v>
      </c>
      <c r="R6" s="24">
        <f t="shared" si="7"/>
        <v>3</v>
      </c>
    </row>
    <row r="7">
      <c r="A7" s="12" t="str">
        <f>IFERROR(__xludf.DUMMYFUNCTION("""COMPUTED_VALUE"""),"062372c7882af8f7bb84943024eb6a2c")</f>
        <v>062372c7882af8f7bb84943024eb6a2c</v>
      </c>
      <c r="B7" s="12" t="str">
        <f>IFERROR(__xludf.DUMMYFUNCTION("""COMPUTED_VALUE"""),"Its mandate is two-fold: to promote energy security amongst its member countries through collective response to physical disruptions in oil supply and to advise member countries on sound energy policy. This paper reflects the views of the IEA Secretariat "&amp;"and may not necessarily reflect the views of the individual IEA member countries. The study also draws on contributions of Franziska Mueller-Langer, Jens Giersdorf and Anastasios Perimenis of the German Biomass Research Centre (DBFZ), who provided parts o"&amp;"f the sustainability chapter and four country profiles commissioned by the Deutsche Gesellschaft fiir Technische Zusammenarbeit (GTZ).")</f>
        <v>Its mandate is two-fold: to promote energy security amongst its member countries through collective response to physical disruptions in oil supply and to advise member countries on sound energy policy. This paper reflects the views of the IEA Secretariat and may not necessarily reflect the views of the individual IEA member countries. The study also draws on contributions of Franziska Mueller-Langer, Jens Giersdorf and Anastasios Perimenis of the German Biomass Research Centre (DBFZ), who provided parts of the sustainability chapter and four country profiles commissioned by the Deutsche Gesellschaft fiir Technische Zusammenarbeit (GTZ).</v>
      </c>
      <c r="C7" s="7"/>
      <c r="D7" s="49" t="b">
        <f t="shared" ref="D7:H7" si="14">VLOOKUP($A7, INDIRECT(D$1&amp;"!A:C"), 3, FALSE)</f>
        <v>0</v>
      </c>
      <c r="E7" s="49" t="b">
        <f t="shared" si="14"/>
        <v>0</v>
      </c>
      <c r="F7" s="49" t="str">
        <f t="shared" si="14"/>
        <v>TO DO</v>
      </c>
      <c r="G7" s="49" t="b">
        <f t="shared" si="14"/>
        <v>0</v>
      </c>
      <c r="H7" s="49" t="b">
        <f t="shared" si="14"/>
        <v>0</v>
      </c>
      <c r="I7" s="50">
        <f t="shared" si="4"/>
        <v>1</v>
      </c>
      <c r="J7" s="51" t="str">
        <f t="shared" ref="J7:N7" si="15">VLOOKUP($A7, INDIRECT(J$1&amp;"!A:D"), 4, FALSE)</f>
        <v/>
      </c>
      <c r="K7" s="51" t="str">
        <f t="shared" si="15"/>
        <v>Could be SDG 12 because oil is natural resource. But it is very, very vague and should be considered as the SDG on energy instead if we were to avoid double counting.</v>
      </c>
      <c r="L7" s="51" t="str">
        <f t="shared" si="15"/>
        <v/>
      </c>
      <c r="M7" s="51" t="str">
        <f t="shared" si="15"/>
        <v/>
      </c>
      <c r="N7" s="51" t="str">
        <f t="shared" si="15"/>
        <v/>
      </c>
      <c r="O7" s="50" t="str">
        <f>IFERROR(__xludf.DUMMYFUNCTION("IF(COUNTA(J7:N7)=0, """", ARRAYFORMULA(""- ""&amp;TEXTJOIN(char(10)&amp;""- "", TRUE, FILTER(J$1:N$1&amp;"": ""&amp;J7:N7, NOT(ISBLANK(J7:N7))))))"),"- Gib: Could be SDG 12 because oil is natural resource. But it is very, very vague and should be considered as the SDG on energy instead if we were to avoid double counting.")</f>
        <v>- Gib: Could be SDG 12 because oil is natural resource. But it is very, very vague and should be considered as the SDG on energy instead if we were to avoid double counting.</v>
      </c>
      <c r="P7" s="50" t="s">
        <v>433</v>
      </c>
      <c r="Q7" s="52" t="b">
        <f t="shared" si="6"/>
        <v>0</v>
      </c>
      <c r="R7" s="24">
        <f t="shared" si="7"/>
        <v>4</v>
      </c>
    </row>
    <row r="8">
      <c r="A8" s="12" t="str">
        <f>IFERROR(__xludf.DUMMYFUNCTION("""COMPUTED_VALUE"""),"0686b17a9aeedb103f46b38f9d94eeb8")</f>
        <v>0686b17a9aeedb103f46b38f9d94eeb8</v>
      </c>
      <c r="B8" s="12" t="str">
        <f>IFERROR(__xludf.DUMMYFUNCTION("""COMPUTED_VALUE"""),"Thus the government's role is dual. On the one hand, it must act as a facilitator by providing the necessary infrastructure for tourists, promoting attractions and encouraging tourist arrivals. On the other hand, government’s role is to enforce laws of th"&amp;"e land and these may, in some cases, be in conflict with its role as a promoter of tourism.")</f>
        <v>Thus the government's role is dual. On the one hand, it must act as a facilitator by providing the necessary infrastructure for tourists, promoting attractions and encouraging tourist arrivals. On the other hand, government’s role is to enforce laws of the land and these may, in some cases, be in conflict with its role as a promoter of tourism.</v>
      </c>
      <c r="C8" s="7"/>
      <c r="D8" s="49" t="b">
        <f t="shared" ref="D8:H8" si="16">VLOOKUP($A8, INDIRECT(D$1&amp;"!A:C"), 3, FALSE)</f>
        <v>0</v>
      </c>
      <c r="E8" s="49" t="b">
        <f t="shared" si="16"/>
        <v>0</v>
      </c>
      <c r="F8" s="49" t="str">
        <f t="shared" si="16"/>
        <v>TO DO</v>
      </c>
      <c r="G8" s="49" t="b">
        <f t="shared" si="16"/>
        <v>0</v>
      </c>
      <c r="H8" s="49" t="b">
        <f t="shared" si="16"/>
        <v>0</v>
      </c>
      <c r="I8" s="50">
        <f t="shared" si="4"/>
        <v>1</v>
      </c>
      <c r="J8" s="51" t="str">
        <f t="shared" ref="J8:N8" si="17">VLOOKUP($A8, INDIRECT(J$1&amp;"!A:D"), 4, FALSE)</f>
        <v/>
      </c>
      <c r="K8" s="51" t="str">
        <f t="shared" si="17"/>
        <v/>
      </c>
      <c r="L8" s="51" t="str">
        <f t="shared" si="17"/>
        <v/>
      </c>
      <c r="M8" s="51" t="str">
        <f t="shared" si="17"/>
        <v/>
      </c>
      <c r="N8" s="51" t="str">
        <f t="shared" si="17"/>
        <v>12.b is specifically on developing and implementing monitoring tools</v>
      </c>
      <c r="O8" s="50" t="str">
        <f>IFERROR(__xludf.DUMMYFUNCTION("IF(COUNTA(J8:N8)=0, """", ARRAYFORMULA(""- ""&amp;TEXTJOIN(char(10)&amp;""- "", TRUE, FILTER(J$1:N$1&amp;"": ""&amp;J8:N8, NOT(ISBLANK(J8:N8))))))"),"- Steve: 12.b is specifically on developing and implementing monitoring tools")</f>
        <v>- Steve: 12.b is specifically on developing and implementing monitoring tools</v>
      </c>
      <c r="P8" s="50" t="s">
        <v>434</v>
      </c>
      <c r="Q8" s="52" t="b">
        <f t="shared" si="6"/>
        <v>0</v>
      </c>
      <c r="R8" s="24">
        <f t="shared" si="7"/>
        <v>4</v>
      </c>
    </row>
    <row r="9">
      <c r="A9" s="12" t="str">
        <f>IFERROR(__xludf.DUMMYFUNCTION("""COMPUTED_VALUE"""),"08ee208db6cafa5ea057212223ece39c")</f>
        <v>08ee208db6cafa5ea057212223ece39c</v>
      </c>
      <c r="B9" s="12" t="str">
        <f>IFERROR(__xludf.DUMMYFUNCTION("""COMPUTED_VALUE"""),"One legacy of that programme was the establishment of the Programme of Advancement through Health and Education (PATH), a conditional cash transfer programme that now constitutes the core of the social safety net. Advocacy has been initiated by scientists"&amp;" and their students in the Climate Studies Group of the Department of Physics at the University of the West Indies (UWI), individual scholars in the Faculty of Social Sciences, the Centre for Sustainable Development at UWI, as well as by various ENGOs. So"&amp;"me of the research and the outreach based on this work have been funded by the Caribbean Community Climate Change Centre (CCCCC) and the Environmental Foundation of Jamaica (EFJ).")</f>
        <v>One legacy of that programme was the establishment of the Programme of Advancement through Health and Education (PATH), a conditional cash transfer programme that now constitutes the core of the social safety net. Advocacy has been initiated by scientists and their students in the Climate Studies Group of the Department of Physics at the University of the West Indies (UWI), individual scholars in the Faculty of Social Sciences, the Centre for Sustainable Development at UWI, as well as by various ENGOs. Some of the research and the outreach based on this work have been funded by the Caribbean Community Climate Change Centre (CCCCC) and the Environmental Foundation of Jamaica (EFJ).</v>
      </c>
      <c r="C9" s="7"/>
      <c r="D9" s="49" t="b">
        <f t="shared" ref="D9:H9" si="18">VLOOKUP($A9, INDIRECT(D$1&amp;"!A:C"), 3, FALSE)</f>
        <v>0</v>
      </c>
      <c r="E9" s="49" t="b">
        <f t="shared" si="18"/>
        <v>0</v>
      </c>
      <c r="F9" s="49" t="str">
        <f t="shared" si="18"/>
        <v>TO DO</v>
      </c>
      <c r="G9" s="49" t="str">
        <f t="shared" si="18"/>
        <v>TO DO</v>
      </c>
      <c r="H9" s="49" t="b">
        <f t="shared" si="18"/>
        <v>0</v>
      </c>
      <c r="I9" s="50">
        <f t="shared" si="4"/>
        <v>1</v>
      </c>
      <c r="J9" s="51" t="str">
        <f t="shared" ref="J9:N9" si="19">VLOOKUP($A9, INDIRECT(J$1&amp;"!A:D"), 4, FALSE)</f>
        <v/>
      </c>
      <c r="K9" s="51" t="str">
        <f t="shared" si="19"/>
        <v>Environment is another SDG</v>
      </c>
      <c r="L9" s="51" t="str">
        <f t="shared" si="19"/>
        <v/>
      </c>
      <c r="M9" s="51" t="str">
        <f t="shared" si="19"/>
        <v/>
      </c>
      <c r="N9" s="51" t="str">
        <f t="shared" si="19"/>
        <v/>
      </c>
      <c r="O9" s="50" t="str">
        <f>IFERROR(__xludf.DUMMYFUNCTION("IF(COUNTA(J9:N9)=0, """", ARRAYFORMULA(""- ""&amp;TEXTJOIN(char(10)&amp;""- "", TRUE, FILTER(J$1:N$1&amp;"": ""&amp;J9:N9, NOT(ISBLANK(J9:N9))))))"),"- Gib: Environment is another SDG")</f>
        <v>- Gib: Environment is another SDG</v>
      </c>
      <c r="P9" s="50" t="s">
        <v>435</v>
      </c>
      <c r="Q9" s="52" t="b">
        <f t="shared" si="6"/>
        <v>0</v>
      </c>
      <c r="R9" s="24">
        <f t="shared" si="7"/>
        <v>3</v>
      </c>
    </row>
    <row r="10">
      <c r="A10" s="12" t="str">
        <f>IFERROR(__xludf.DUMMYFUNCTION("""COMPUTED_VALUE"""),"0b4a31dd0bc5b9cb6a3da2b48eb54401")</f>
        <v>0b4a31dd0bc5b9cb6a3da2b48eb54401</v>
      </c>
      <c r="B10" s="12" t="str">
        <f>IFERROR(__xludf.DUMMYFUNCTION("""COMPUTED_VALUE"""),"As a result, poverty is endemic, generously underestimated at 20 per cent of the population in 2011, with the majority of poor households located in rural communities. It is well known that poor communities generate negative pressure on the environment fr"&amp;"om ‘slash-and-burn’ agricultural activities, improper waste disposal for want of facilities, and settlement on fragile lands that are vulnerable to natural hazards. In the case of Jamaica, there are the additional challenges of servicing the mounting nati"&amp;"onal debt, which in 2013 stood at over 140 per cent of GDP, and ensuring macroeconomic stability so as to provide a basis for economic growth.")</f>
        <v>As a result, poverty is endemic, generously underestimated at 20 per cent of the population in 2011, with the majority of poor households located in rural communities. It is well known that poor communities generate negative pressure on the environment from ‘slash-and-burn’ agricultural activities, improper waste disposal for want of facilities, and settlement on fragile lands that are vulnerable to natural hazards. In the case of Jamaica, there are the additional challenges of servicing the mounting national debt, which in 2013 stood at over 140 per cent of GDP, and ensuring macroeconomic stability so as to provide a basis for economic growth.</v>
      </c>
      <c r="C10" s="49"/>
      <c r="D10" s="49" t="b">
        <f t="shared" ref="D10:H10" si="20">VLOOKUP($A10, INDIRECT(D$1&amp;"!A:C"), 3, FALSE)</f>
        <v>1</v>
      </c>
      <c r="E10" s="49" t="b">
        <f t="shared" si="20"/>
        <v>1</v>
      </c>
      <c r="F10" s="49" t="str">
        <f t="shared" si="20"/>
        <v>TO DO</v>
      </c>
      <c r="G10" s="49" t="str">
        <f t="shared" si="20"/>
        <v>TO DO</v>
      </c>
      <c r="H10" s="49" t="b">
        <f t="shared" si="20"/>
        <v>1</v>
      </c>
      <c r="I10" s="50">
        <f t="shared" si="4"/>
        <v>1</v>
      </c>
      <c r="J10" s="51" t="str">
        <f t="shared" ref="J10:N10" si="21">VLOOKUP($A10, INDIRECT(J$1&amp;"!A:D"), 4, FALSE)</f>
        <v/>
      </c>
      <c r="K10" s="51" t="str">
        <f t="shared" si="21"/>
        <v/>
      </c>
      <c r="L10" s="51" t="str">
        <f t="shared" si="21"/>
        <v/>
      </c>
      <c r="M10" s="51" t="str">
        <f t="shared" si="21"/>
        <v/>
      </c>
      <c r="N10" s="51" t="str">
        <f t="shared" si="21"/>
        <v/>
      </c>
      <c r="O10" s="50" t="str">
        <f>IFERROR(__xludf.DUMMYFUNCTION("IF(COUNTA(J10:N10)=0, """", ARRAYFORMULA(""- ""&amp;TEXTJOIN(char(10)&amp;""- "", TRUE, FILTER(J$1:N$1&amp;"": ""&amp;J10:N10, NOT(ISBLANK(J10:N10))))))"),"")</f>
        <v/>
      </c>
      <c r="P10" s="50" t="s">
        <v>432</v>
      </c>
      <c r="Q10" s="52" t="b">
        <f t="shared" si="6"/>
        <v>1</v>
      </c>
      <c r="R10" s="24">
        <f t="shared" si="7"/>
        <v>3</v>
      </c>
    </row>
    <row r="11">
      <c r="A11" s="12" t="str">
        <f>IFERROR(__xludf.DUMMYFUNCTION("""COMPUTED_VALUE"""),"0bafd5e13fe32c31b5b4d9f7536c941d")</f>
        <v>0bafd5e13fe32c31b5b4d9f7536c941d</v>
      </c>
      <c r="B11" s="12" t="str">
        <f>IFERROR(__xludf.DUMMYFUNCTION("""COMPUTED_VALUE"""),"Some definition of technology is necessary- it should be 100% recyclable under readily available current technology. Cotton/polyester mixes, for example, can be more technically durable than pure cotton. This suggests that the 100% recyclable stamp would "&amp;"be more applicable to fast fashion and not recommended for textiles where lifetime is generally limited by technical strength rather than change in style or change in fit e.g. bed-linen. This would rule out linking to some of the information proposed in t"&amp;"he provision - unless the regulation was to be changed.")</f>
        <v>Some definition of technology is necessary- it should be 100% recyclable under readily available current technology. Cotton/polyester mixes, for example, can be more technically durable than pure cotton. This suggests that the 100% recyclable stamp would be more applicable to fast fashion and not recommended for textiles where lifetime is generally limited by technical strength rather than change in style or change in fit e.g. bed-linen. This would rule out linking to some of the information proposed in the provision - unless the regulation was to be changed.</v>
      </c>
      <c r="C11" s="53"/>
      <c r="D11" s="49" t="b">
        <f t="shared" ref="D11:H11" si="22">VLOOKUP($A11, INDIRECT(D$1&amp;"!A:C"), 3, FALSE)</f>
        <v>1</v>
      </c>
      <c r="E11" s="49" t="str">
        <f t="shared" si="22"/>
        <v>TO DO</v>
      </c>
      <c r="F11" s="49" t="str">
        <f t="shared" si="22"/>
        <v>TO DO</v>
      </c>
      <c r="G11" s="49" t="b">
        <f t="shared" si="22"/>
        <v>1</v>
      </c>
      <c r="H11" s="49" t="b">
        <f t="shared" si="22"/>
        <v>1</v>
      </c>
      <c r="I11" s="50">
        <f t="shared" si="4"/>
        <v>1</v>
      </c>
      <c r="J11" s="51" t="str">
        <f t="shared" ref="J11:N11" si="23">VLOOKUP($A11, INDIRECT(J$1&amp;"!A:D"), 4, FALSE)</f>
        <v/>
      </c>
      <c r="K11" s="51" t="str">
        <f t="shared" si="23"/>
        <v/>
      </c>
      <c r="L11" s="51" t="str">
        <f t="shared" si="23"/>
        <v/>
      </c>
      <c r="M11" s="51" t="str">
        <f t="shared" si="23"/>
        <v/>
      </c>
      <c r="N11" s="51" t="str">
        <f t="shared" si="23"/>
        <v/>
      </c>
      <c r="O11" s="50" t="str">
        <f>IFERROR(__xludf.DUMMYFUNCTION("IF(COUNTA(J11:N11)=0, """", ARRAYFORMULA(""- ""&amp;TEXTJOIN(char(10)&amp;""- "", TRUE, FILTER(J$1:N$1&amp;"": ""&amp;J11:N11, NOT(ISBLANK(J11:N11))))))"),"")</f>
        <v/>
      </c>
      <c r="P11" s="50" t="s">
        <v>432</v>
      </c>
      <c r="Q11" s="52" t="b">
        <f t="shared" si="6"/>
        <v>1</v>
      </c>
      <c r="R11" s="24">
        <f t="shared" si="7"/>
        <v>3</v>
      </c>
    </row>
    <row r="12">
      <c r="A12" s="12" t="str">
        <f>IFERROR(__xludf.DUMMYFUNCTION("""COMPUTED_VALUE"""),"3c57594c5de7b481d01d64593f4e51cb")</f>
        <v>3c57594c5de7b481d01d64593f4e51cb</v>
      </c>
      <c r="B12" s="12" t="str">
        <f>IFERROR(__xludf.DUMMYFUNCTION("""COMPUTED_VALUE"""),"Design-for-disassembly was formulated to promote the easy recovery of parts and materials during the product disassembly process, while design-for-environment called for minimizing pollution and promoting resource conservation during product or system des"&amp;"ign. In product life-cycle considerations, extended producer responsibility (EPR) may be realized in collaboration with intelligent consumer behaviour. The European Union (EU) and WBCSD have shifted the leading concept of a resource-circulating society fr"&amp;"om sustainable production and consumption in the 1990s to sustainable consumption and production in a “consumer society”.")</f>
        <v>Design-for-disassembly was formulated to promote the easy recovery of parts and materials during the product disassembly process, while design-for-environment called for minimizing pollution and promoting resource conservation during product or system design. In product life-cycle considerations, extended producer responsibility (EPR) may be realized in collaboration with intelligent consumer behaviour. The European Union (EU) and WBCSD have shifted the leading concept of a resource-circulating society from sustainable production and consumption in the 1990s to sustainable consumption and production in a “consumer society”.</v>
      </c>
      <c r="C12" s="54"/>
      <c r="D12" s="49" t="b">
        <f t="shared" ref="D12:H12" si="24">VLOOKUP($A12, INDIRECT(D$1&amp;"!A:C"), 3, FALSE)</f>
        <v>1</v>
      </c>
      <c r="E12" s="49" t="b">
        <f t="shared" si="24"/>
        <v>1</v>
      </c>
      <c r="F12" s="49" t="str">
        <f t="shared" si="24"/>
        <v>TO DO</v>
      </c>
      <c r="G12" s="49" t="str">
        <f t="shared" si="24"/>
        <v>TO DO</v>
      </c>
      <c r="H12" s="49" t="b">
        <f t="shared" si="24"/>
        <v>1</v>
      </c>
      <c r="I12" s="50">
        <f t="shared" si="4"/>
        <v>1</v>
      </c>
      <c r="J12" s="51" t="str">
        <f t="shared" ref="J12:N12" si="25">VLOOKUP($A12, INDIRECT(J$1&amp;"!A:D"), 4, FALSE)</f>
        <v/>
      </c>
      <c r="K12" s="51" t="str">
        <f t="shared" si="25"/>
        <v/>
      </c>
      <c r="L12" s="51" t="str">
        <f t="shared" si="25"/>
        <v/>
      </c>
      <c r="M12" s="51" t="str">
        <f t="shared" si="25"/>
        <v/>
      </c>
      <c r="N12" s="51" t="str">
        <f t="shared" si="25"/>
        <v/>
      </c>
      <c r="O12" s="50" t="str">
        <f>IFERROR(__xludf.DUMMYFUNCTION("IF(COUNTA(J12:N12)=0, """", ARRAYFORMULA(""- ""&amp;TEXTJOIN(char(10)&amp;""- "", TRUE, FILTER(J$1:N$1&amp;"": ""&amp;J12:N12, NOT(ISBLANK(J12:N12))))))"),"")</f>
        <v/>
      </c>
      <c r="P12" s="50" t="s">
        <v>432</v>
      </c>
      <c r="Q12" s="52" t="b">
        <f t="shared" si="6"/>
        <v>1</v>
      </c>
      <c r="R12" s="24">
        <f t="shared" si="7"/>
        <v>3</v>
      </c>
    </row>
    <row r="13">
      <c r="A13" s="12" t="str">
        <f>IFERROR(__xludf.DUMMYFUNCTION("""COMPUTED_VALUE"""),"78625638c482b151a88161b2f6e4894f")</f>
        <v>78625638c482b151a88161b2f6e4894f</v>
      </c>
      <c r="B13" s="12" t="str">
        <f>IFERROR(__xludf.DUMMYFUNCTION("""COMPUTED_VALUE"""),"Resource efficiency can be achieved by increasing resource productivity (value added / resource use) or reducing resource intensity (resource use / value added). It is related to strategies like dematerialisation, such as fuel efficient cars. It will be c"&amp;"lear that no production can be said to be sustainable if it is profligate in the use of resources, thus there is a direct link between resource efficiency and SCP, particularly sustainable production.")</f>
        <v>Resource efficiency can be achieved by increasing resource productivity (value added / resource use) or reducing resource intensity (resource use / value added). It is related to strategies like dematerialisation, such as fuel efficient cars. It will be clear that no production can be said to be sustainable if it is profligate in the use of resources, thus there is a direct link between resource efficiency and SCP, particularly sustainable production.</v>
      </c>
      <c r="C13" s="53"/>
      <c r="D13" s="49" t="b">
        <f t="shared" ref="D13:H13" si="26">VLOOKUP($A13, INDIRECT(D$1&amp;"!A:C"), 3, FALSE)</f>
        <v>1</v>
      </c>
      <c r="E13" s="49" t="b">
        <f t="shared" si="26"/>
        <v>1</v>
      </c>
      <c r="F13" s="49" t="str">
        <f t="shared" si="26"/>
        <v>TO DO</v>
      </c>
      <c r="G13" s="49" t="str">
        <f t="shared" si="26"/>
        <v>TO DO</v>
      </c>
      <c r="H13" s="49" t="b">
        <f t="shared" si="26"/>
        <v>1</v>
      </c>
      <c r="I13" s="50">
        <f t="shared" si="4"/>
        <v>1</v>
      </c>
      <c r="J13" s="51" t="str">
        <f t="shared" ref="J13:N13" si="27">VLOOKUP($A13, INDIRECT(J$1&amp;"!A:D"), 4, FALSE)</f>
        <v/>
      </c>
      <c r="K13" s="51" t="str">
        <f t="shared" si="27"/>
        <v/>
      </c>
      <c r="L13" s="51" t="str">
        <f t="shared" si="27"/>
        <v/>
      </c>
      <c r="M13" s="51" t="str">
        <f t="shared" si="27"/>
        <v/>
      </c>
      <c r="N13" s="51" t="str">
        <f t="shared" si="27"/>
        <v/>
      </c>
      <c r="O13" s="50" t="str">
        <f>IFERROR(__xludf.DUMMYFUNCTION("IF(COUNTA(J13:N13)=0, """", ARRAYFORMULA(""- ""&amp;TEXTJOIN(char(10)&amp;""- "", TRUE, FILTER(J$1:N$1&amp;"": ""&amp;J13:N13, NOT(ISBLANK(J13:N13))))))"),"")</f>
        <v/>
      </c>
      <c r="P13" s="50" t="s">
        <v>432</v>
      </c>
      <c r="Q13" s="52" t="b">
        <f t="shared" si="6"/>
        <v>1</v>
      </c>
      <c r="R13" s="24">
        <f t="shared" si="7"/>
        <v>3</v>
      </c>
    </row>
    <row r="14" hidden="1">
      <c r="A14" s="12" t="str">
        <f>IFERROR(__xludf.DUMMYFUNCTION("""COMPUTED_VALUE"""),"12128c9d99e298a5a86fec6053a25347")</f>
        <v>12128c9d99e298a5a86fec6053a25347</v>
      </c>
      <c r="B14" s="12" t="str">
        <f>IFERROR(__xludf.DUMMYFUNCTION("""COMPUTED_VALUE"""),"There is high uncertainty of data, because of the lack of data verification procedures. Additionally, as well as receiving user fees, collection companies receive a subsidy from the municipality, which is based on the amount of w aste collected and distan"&amp;"ce to the disposal site. Disposal site operators do not collect a gate fee but receive a subsidy based on the amount of waste received.")</f>
        <v>There is high uncertainty of data, because of the lack of data verification procedures. Additionally, as well as receiving user fees, collection companies receive a subsidy from the municipality, which is based on the amount of w aste collected and distance to the disposal site. Disposal site operators do not collect a gate fee but receive a subsidy based on the amount of waste received.</v>
      </c>
      <c r="C14" s="53"/>
      <c r="D14" s="49" t="b">
        <f t="shared" ref="D14:H14" si="28">VLOOKUP($A14, INDIRECT(D$1&amp;"!A:C"), 3, FALSE)</f>
        <v>0</v>
      </c>
      <c r="E14" s="49" t="str">
        <f t="shared" si="28"/>
        <v>TO DO</v>
      </c>
      <c r="F14" s="49" t="str">
        <f t="shared" si="28"/>
        <v>TO DO</v>
      </c>
      <c r="G14" s="49" t="str">
        <f t="shared" si="28"/>
        <v>TO DO</v>
      </c>
      <c r="H14" s="49" t="b">
        <f t="shared" si="28"/>
        <v>1</v>
      </c>
      <c r="I14" s="50">
        <f t="shared" si="4"/>
        <v>0</v>
      </c>
      <c r="J14" s="51" t="str">
        <f t="shared" ref="J14:N14" si="29">VLOOKUP($A14, INDIRECT(J$1&amp;"!A:D"), 4, FALSE)</f>
        <v/>
      </c>
      <c r="K14" s="51" t="str">
        <f t="shared" si="29"/>
        <v/>
      </c>
      <c r="L14" s="51" t="str">
        <f t="shared" si="29"/>
        <v/>
      </c>
      <c r="M14" s="51" t="str">
        <f t="shared" si="29"/>
        <v/>
      </c>
      <c r="N14" s="51" t="str">
        <f t="shared" si="29"/>
        <v>on waste reduction </v>
      </c>
      <c r="O14" s="50" t="str">
        <f>IFERROR(__xludf.DUMMYFUNCTION("IF(COUNTA(J14:N14)=0, """", ARRAYFORMULA(""- ""&amp;TEXTJOIN(char(10)&amp;""- "", TRUE, FILTER(J$1:N$1&amp;"": ""&amp;J14:N14, NOT(ISBLANK(J14:N14))))))"),"- Steve: on waste reduction ")</f>
        <v>- Steve: on waste reduction </v>
      </c>
      <c r="P14" s="50" t="s">
        <v>436</v>
      </c>
      <c r="Q14" s="52" t="str">
        <f t="shared" si="6"/>
        <v>UNDECIDED</v>
      </c>
      <c r="R14" s="24">
        <f t="shared" si="7"/>
        <v>2</v>
      </c>
    </row>
    <row r="15">
      <c r="A15" s="12" t="str">
        <f>IFERROR(__xludf.DUMMYFUNCTION("""COMPUTED_VALUE"""),"13da70ac3a8ad54df495da6e6bf5bf08")</f>
        <v>13da70ac3a8ad54df495da6e6bf5bf08</v>
      </c>
      <c r="B15" s="12" t="str">
        <f>IFERROR(__xludf.DUMMYFUNCTION("""COMPUTED_VALUE"""),"Children and youth in cities”, in ISSC/UNESCO, World Social Science Report 2013: Changing Global Environments, OECD Publishing and Unesco Publishing. Each author is responsible for the facts contained in his/her article and the opinions expressed therein,"&amp;" which are not necessarily those of UNESCO, ISSC and do not commit either organisation.")</f>
        <v>Children and youth in cities”, in ISSC/UNESCO, World Social Science Report 2013: Changing Global Environments, OECD Publishing and Unesco Publishing. Each author is responsible for the facts contained in his/her article and the opinions expressed therein, which are not necessarily those of UNESCO, ISSC and do not commit either organisation.</v>
      </c>
      <c r="C15" s="53"/>
      <c r="D15" s="49" t="b">
        <f t="shared" ref="D15:H15" si="30">VLOOKUP($A15, INDIRECT(D$1&amp;"!A:C"), 3, FALSE)</f>
        <v>0</v>
      </c>
      <c r="E15" s="49" t="str">
        <f t="shared" si="30"/>
        <v>TO DO</v>
      </c>
      <c r="F15" s="49" t="str">
        <f t="shared" si="30"/>
        <v>TO DO</v>
      </c>
      <c r="G15" s="49" t="b">
        <f t="shared" si="30"/>
        <v>0</v>
      </c>
      <c r="H15" s="49" t="b">
        <f t="shared" si="30"/>
        <v>0</v>
      </c>
      <c r="I15" s="50">
        <f t="shared" si="4"/>
        <v>1</v>
      </c>
      <c r="J15" s="51" t="str">
        <f t="shared" ref="J15:N15" si="31">VLOOKUP($A15, INDIRECT(J$1&amp;"!A:D"), 4, FALSE)</f>
        <v/>
      </c>
      <c r="K15" s="51" t="str">
        <f t="shared" si="31"/>
        <v/>
      </c>
      <c r="L15" s="51" t="str">
        <f t="shared" si="31"/>
        <v/>
      </c>
      <c r="M15" s="51" t="str">
        <f t="shared" si="31"/>
        <v/>
      </c>
      <c r="N15" s="51" t="str">
        <f t="shared" si="31"/>
        <v/>
      </c>
      <c r="O15" s="50" t="str">
        <f>IFERROR(__xludf.DUMMYFUNCTION("IF(COUNTA(J15:N15)=0, """", ARRAYFORMULA(""- ""&amp;TEXTJOIN(char(10)&amp;""- "", TRUE, FILTER(J$1:N$1&amp;"": ""&amp;J15:N15, NOT(ISBLANK(J15:N15))))))"),"")</f>
        <v/>
      </c>
      <c r="P15" s="50" t="s">
        <v>432</v>
      </c>
      <c r="Q15" s="52" t="b">
        <f t="shared" si="6"/>
        <v>0</v>
      </c>
      <c r="R15" s="24">
        <f t="shared" si="7"/>
        <v>3</v>
      </c>
    </row>
    <row r="16">
      <c r="A16" s="12" t="str">
        <f>IFERROR(__xludf.DUMMYFUNCTION("""COMPUTED_VALUE"""),"9b3e0c684586646ce9eed8a9821e0b59")</f>
        <v>9b3e0c684586646ce9eed8a9821e0b59</v>
      </c>
      <c r="B16" s="12" t="str">
        <f>IFERROR(__xludf.DUMMYFUNCTION("""COMPUTED_VALUE"""),"It takes stock of policy initiatives to reduce waste generation, encourage recycling and ensure safe disposal of municipal and hazardous waste. The chapter also highlights progress in integrating informal waste pickers into municipal waste management. It "&amp;"discusses the environmental and economic implications of specific measures, such as extended producer responsibility and waste collection charges. National, regional and local authorities have well-defined responsibilities in waste management.")</f>
        <v>It takes stock of policy initiatives to reduce waste generation, encourage recycling and ensure safe disposal of municipal and hazardous waste. The chapter also highlights progress in integrating informal waste pickers into municipal waste management. It discusses the environmental and economic implications of specific measures, such as extended producer responsibility and waste collection charges. National, regional and local authorities have well-defined responsibilities in waste management.</v>
      </c>
      <c r="C16" s="53"/>
      <c r="D16" s="49" t="b">
        <f t="shared" ref="D16:H16" si="32">VLOOKUP($A16, INDIRECT(D$1&amp;"!A:C"), 3, FALSE)</f>
        <v>1</v>
      </c>
      <c r="E16" s="49" t="str">
        <f t="shared" si="32"/>
        <v>TO DO</v>
      </c>
      <c r="F16" s="49" t="str">
        <f t="shared" si="32"/>
        <v>TO DO</v>
      </c>
      <c r="G16" s="49" t="b">
        <f t="shared" si="32"/>
        <v>1</v>
      </c>
      <c r="H16" s="49" t="b">
        <f t="shared" si="32"/>
        <v>1</v>
      </c>
      <c r="I16" s="50">
        <f t="shared" si="4"/>
        <v>1</v>
      </c>
      <c r="J16" s="51" t="str">
        <f t="shared" ref="J16:N16" si="33">VLOOKUP($A16, INDIRECT(J$1&amp;"!A:D"), 4, FALSE)</f>
        <v/>
      </c>
      <c r="K16" s="51" t="str">
        <f t="shared" si="33"/>
        <v/>
      </c>
      <c r="L16" s="51" t="str">
        <f t="shared" si="33"/>
        <v/>
      </c>
      <c r="M16" s="51" t="str">
        <f t="shared" si="33"/>
        <v/>
      </c>
      <c r="N16" s="51" t="str">
        <f t="shared" si="33"/>
        <v/>
      </c>
      <c r="O16" s="50" t="str">
        <f>IFERROR(__xludf.DUMMYFUNCTION("IF(COUNTA(J16:N16)=0, """", ARRAYFORMULA(""- ""&amp;TEXTJOIN(char(10)&amp;""- "", TRUE, FILTER(J$1:N$1&amp;"": ""&amp;J16:N16, NOT(ISBLANK(J16:N16))))))"),"")</f>
        <v/>
      </c>
      <c r="P16" s="50" t="s">
        <v>432</v>
      </c>
      <c r="Q16" s="52" t="b">
        <f t="shared" si="6"/>
        <v>1</v>
      </c>
      <c r="R16" s="24">
        <f t="shared" si="7"/>
        <v>3</v>
      </c>
    </row>
    <row r="17">
      <c r="A17" s="12" t="str">
        <f>IFERROR(__xludf.DUMMYFUNCTION("""COMPUTED_VALUE"""),"ad6accc9d24e23b3e302de529a942889")</f>
        <v>ad6accc9d24e23b3e302de529a942889</v>
      </c>
      <c r="B17" s="12" t="str">
        <f>IFERROR(__xludf.DUMMYFUNCTION("""COMPUTED_VALUE"""),"Policy instruments based on EPR can also be designed to drive eco-design at the beginning of the product lifecycle. However, if the instruments are focused only on improved recycling without driving initial eco-design, EPR may not generate the desired eco"&amp;"nomic and environmental efficiencies (Tojo, N., 2004). Outcomes from economic incentives alone, however, may not be sufficient to generate environmentally or socially meaningful results, because actors generally stop making improvements once the economic "&amp;"incentive to do so ends, whether or not sufficient social or environmental progress has been made. Examples of economic mechanisms employed by OECD governments include also disincentives such as increased fees on waste disposal, and incentives such as gov"&amp;"ernment procurement policies and a potential reduction in the value added tax (VAT) and tax for environmentally friendly products (all promoted by the government of the Czech Republic, among others).")</f>
        <v>Policy instruments based on EPR can also be designed to drive eco-design at the beginning of the product lifecycle. However, if the instruments are focused only on improved recycling without driving initial eco-design, EPR may not generate the desired economic and environmental efficiencies (Tojo, N., 2004). Outcomes from economic incentives alone, however, may not be sufficient to generate environmentally or socially meaningful results, because actors generally stop making improvements once the economic incentive to do so ends, whether or not sufficient social or environmental progress has been made. Examples of economic mechanisms employed by OECD governments include also disincentives such as increased fees on waste disposal, and incentives such as government procurement policies and a potential reduction in the value added tax (VAT) and tax for environmentally friendly products (all promoted by the government of the Czech Republic, among others).</v>
      </c>
      <c r="C17" s="7"/>
      <c r="D17" s="49" t="b">
        <f t="shared" ref="D17:H17" si="34">VLOOKUP($A17, INDIRECT(D$1&amp;"!A:C"), 3, FALSE)</f>
        <v>1</v>
      </c>
      <c r="E17" s="49" t="str">
        <f t="shared" si="34"/>
        <v>TO DO</v>
      </c>
      <c r="F17" s="49" t="str">
        <f t="shared" si="34"/>
        <v>TO DO</v>
      </c>
      <c r="G17" s="49" t="b">
        <f t="shared" si="34"/>
        <v>1</v>
      </c>
      <c r="H17" s="49" t="b">
        <f t="shared" si="34"/>
        <v>1</v>
      </c>
      <c r="I17" s="50">
        <f t="shared" si="4"/>
        <v>1</v>
      </c>
      <c r="J17" s="51" t="str">
        <f t="shared" ref="J17:N17" si="35">VLOOKUP($A17, INDIRECT(J$1&amp;"!A:D"), 4, FALSE)</f>
        <v>EPR = Extended Producer Responsibility</v>
      </c>
      <c r="K17" s="51" t="str">
        <f t="shared" si="35"/>
        <v/>
      </c>
      <c r="L17" s="51" t="str">
        <f t="shared" si="35"/>
        <v/>
      </c>
      <c r="M17" s="51" t="str">
        <f t="shared" si="35"/>
        <v/>
      </c>
      <c r="N17" s="51" t="str">
        <f t="shared" si="35"/>
        <v/>
      </c>
      <c r="O17" s="50" t="str">
        <f>IFERROR(__xludf.DUMMYFUNCTION("IF(COUNTA(J17:N17)=0, """", ARRAYFORMULA(""- ""&amp;TEXTJOIN(char(10)&amp;""- "", TRUE, FILTER(J$1:N$1&amp;"": ""&amp;J17:N17, NOT(ISBLANK(J17:N17))))))"),"- Finn: EPR = Extended Producer Responsibility")</f>
        <v>- Finn: EPR = Extended Producer Responsibility</v>
      </c>
      <c r="P17" s="50" t="s">
        <v>437</v>
      </c>
      <c r="Q17" s="52" t="b">
        <f t="shared" si="6"/>
        <v>1</v>
      </c>
      <c r="R17" s="24">
        <f t="shared" si="7"/>
        <v>3</v>
      </c>
    </row>
    <row r="18">
      <c r="A18" s="12" t="str">
        <f>IFERROR(__xludf.DUMMYFUNCTION("""COMPUTED_VALUE"""),"197c9502970d6583f6f3e33dceb5550f")</f>
        <v>197c9502970d6583f6f3e33dceb5550f</v>
      </c>
      <c r="B18" s="12" t="str">
        <f>IFERROR(__xludf.DUMMYFUNCTION("""COMPUTED_VALUE"""),"Having been conceived, tested and refined in Dhaka, the IRRC approach was found to be robustly suited to the realities of low and middle-income cities. Under this project, ESCAP and Waste Concern, in partnership with national and local governments, commun"&amp;"ity groups and technical teams, promoted the IRRC model in 17 cities, ultimately establishing facilities and pursuing associated activities in seven of them (Figure 4). The centre is a small-scale facility that can receive different types of waste, includ"&amp;"ing organic and inorganic waste, and then transform it all into resources, such as compost, biogas and other fuels and clean recyclable material.")</f>
        <v>Having been conceived, tested and refined in Dhaka, the IRRC approach was found to be robustly suited to the realities of low and middle-income cities. Under this project, ESCAP and Waste Concern, in partnership with national and local governments, community groups and technical teams, promoted the IRRC model in 17 cities, ultimately establishing facilities and pursuing associated activities in seven of them (Figure 4). The centre is a small-scale facility that can receive different types of waste, including organic and inorganic waste, and then transform it all into resources, such as compost, biogas and other fuels and clean recyclable material.</v>
      </c>
      <c r="C18" s="7"/>
      <c r="D18" s="49" t="b">
        <f t="shared" ref="D18:H18" si="36">VLOOKUP($A18, INDIRECT(D$1&amp;"!A:C"), 3, FALSE)</f>
        <v>1</v>
      </c>
      <c r="E18" s="49" t="str">
        <f t="shared" si="36"/>
        <v>TO DO</v>
      </c>
      <c r="F18" s="49" t="str">
        <f t="shared" si="36"/>
        <v>TO DO</v>
      </c>
      <c r="G18" s="49" t="b">
        <f t="shared" si="36"/>
        <v>1</v>
      </c>
      <c r="H18" s="49" t="b">
        <f t="shared" si="36"/>
        <v>1</v>
      </c>
      <c r="I18" s="50">
        <f t="shared" si="4"/>
        <v>1</v>
      </c>
      <c r="J18" s="51" t="str">
        <f t="shared" ref="J18:N18" si="37">VLOOKUP($A18, INDIRECT(J$1&amp;"!A:D"), 4, FALSE)</f>
        <v/>
      </c>
      <c r="K18" s="51" t="str">
        <f t="shared" si="37"/>
        <v/>
      </c>
      <c r="L18" s="51" t="str">
        <f t="shared" si="37"/>
        <v/>
      </c>
      <c r="M18" s="51" t="str">
        <f t="shared" si="37"/>
        <v/>
      </c>
      <c r="N18" s="51" t="str">
        <f t="shared" si="37"/>
        <v>irrc = integrated resource recovery centre</v>
      </c>
      <c r="O18" s="50" t="str">
        <f>IFERROR(__xludf.DUMMYFUNCTION("IF(COUNTA(J18:N18)=0, """", ARRAYFORMULA(""- ""&amp;TEXTJOIN(char(10)&amp;""- "", TRUE, FILTER(J$1:N$1&amp;"": ""&amp;J18:N18, NOT(ISBLANK(J18:N18))))))"),"- Steve: irrc = integrated resource recovery centre")</f>
        <v>- Steve: irrc = integrated resource recovery centre</v>
      </c>
      <c r="P18" s="50" t="s">
        <v>438</v>
      </c>
      <c r="Q18" s="52" t="b">
        <f t="shared" si="6"/>
        <v>1</v>
      </c>
      <c r="R18" s="24">
        <f t="shared" si="7"/>
        <v>3</v>
      </c>
    </row>
    <row r="19">
      <c r="A19" s="12" t="str">
        <f>IFERROR(__xludf.DUMMYFUNCTION("""COMPUTED_VALUE"""),"d46652f3f1c84a1b471f30c8d0087137")</f>
        <v>d46652f3f1c84a1b471f30c8d0087137</v>
      </c>
      <c r="B19" s="12" t="str">
        <f>IFERROR(__xludf.DUMMYFUNCTION("""COMPUTED_VALUE"""),"Many governments are recognizing this, and some have reformed their subsidies or are in the process of phasing them out. In 2015 and 2016, with low oil prices, around 50 countries increased or removed government controls on prices of fossil fuels, directl"&amp;"y or partially removing subsidies. In 2013 Finland scrutinized 400 subsidy measures according to their environmental and social impacts and costs.")</f>
        <v>Many governments are recognizing this, and some have reformed their subsidies or are in the process of phasing them out. In 2015 and 2016, with low oil prices, around 50 countries increased or removed government controls on prices of fossil fuels, directly or partially removing subsidies. In 2013 Finland scrutinized 400 subsidy measures according to their environmental and social impacts and costs.</v>
      </c>
      <c r="C19" s="7"/>
      <c r="D19" s="49" t="b">
        <f t="shared" ref="D19:H19" si="38">VLOOKUP($A19, INDIRECT(D$1&amp;"!A:C"), 3, FALSE)</f>
        <v>1</v>
      </c>
      <c r="E19" s="49" t="str">
        <f t="shared" si="38"/>
        <v>TO DO</v>
      </c>
      <c r="F19" s="49" t="str">
        <f t="shared" si="38"/>
        <v>TO DO</v>
      </c>
      <c r="G19" s="49" t="b">
        <f t="shared" si="38"/>
        <v>1</v>
      </c>
      <c r="H19" s="49" t="b">
        <f t="shared" si="38"/>
        <v>1</v>
      </c>
      <c r="I19" s="50">
        <f t="shared" si="4"/>
        <v>1</v>
      </c>
      <c r="J19" s="51" t="str">
        <f t="shared" ref="J19:N19" si="39">VLOOKUP($A19, INDIRECT(J$1&amp;"!A:D"), 4, FALSE)</f>
        <v/>
      </c>
      <c r="K19" s="51" t="str">
        <f t="shared" si="39"/>
        <v/>
      </c>
      <c r="L19" s="51" t="str">
        <f t="shared" si="39"/>
        <v/>
      </c>
      <c r="M19" s="51" t="str">
        <f t="shared" si="39"/>
        <v/>
      </c>
      <c r="N19" s="51" t="str">
        <f t="shared" si="39"/>
        <v/>
      </c>
      <c r="O19" s="50" t="str">
        <f>IFERROR(__xludf.DUMMYFUNCTION("IF(COUNTA(J19:N19)=0, """", ARRAYFORMULA(""- ""&amp;TEXTJOIN(char(10)&amp;""- "", TRUE, FILTER(J$1:N$1&amp;"": ""&amp;J19:N19, NOT(ISBLANK(J19:N19))))))"),"")</f>
        <v/>
      </c>
      <c r="P19" s="50" t="s">
        <v>432</v>
      </c>
      <c r="Q19" s="52" t="b">
        <f t="shared" si="6"/>
        <v>1</v>
      </c>
      <c r="R19" s="24">
        <f t="shared" si="7"/>
        <v>3</v>
      </c>
    </row>
    <row r="20" hidden="1">
      <c r="A20" s="12" t="str">
        <f>IFERROR(__xludf.DUMMYFUNCTION("""COMPUTED_VALUE"""),"201aa211051c6d69b54de666dbd44994")</f>
        <v>201aa211051c6d69b54de666dbd44994</v>
      </c>
      <c r="B20" s="12" t="str">
        <f>IFERROR(__xludf.DUMMYFUNCTION("""COMPUTED_VALUE"""),"The industry added USD 44 billion to the US GDP in 2015 and paid USD 10 billion in taxes (RFA, 2016). One strategy to ultimately reach the Renewable Fuels Standard (RFS) targets is to make stepwise improvements in the existing biorefinery concepts. These "&amp;"stepwise improvements must include a regional strategy that builds in enough flexibility to use the “cheapest sources of renewable carbon” within a given region. Such flexibility implies, for example, using grain sorghum, switchgrass, or miscanthus in the"&amp;" US Midwest, sweet sorghum or cane sugar in the US South, guayule bagasse in the US Southwest, almond hull sugars in California and even citrus peel waste in Florida.")</f>
        <v>The industry added USD 44 billion to the US GDP in 2015 and paid USD 10 billion in taxes (RFA, 2016). One strategy to ultimately reach the Renewable Fuels Standard (RFS) targets is to make stepwise improvements in the existing biorefinery concepts. These stepwise improvements must include a regional strategy that builds in enough flexibility to use the “cheapest sources of renewable carbon” within a given region. Such flexibility implies, for example, using grain sorghum, switchgrass, or miscanthus in the US Midwest, sweet sorghum or cane sugar in the US South, guayule bagasse in the US Southwest, almond hull sugars in California and even citrus peel waste in Florida.</v>
      </c>
      <c r="C20" s="7" t="s">
        <v>439</v>
      </c>
      <c r="D20" s="49" t="b">
        <f t="shared" ref="D20:H20" si="40">VLOOKUP($A20, INDIRECT(D$1&amp;"!A:C"), 3, FALSE)</f>
        <v>0</v>
      </c>
      <c r="E20" s="49" t="str">
        <f t="shared" si="40"/>
        <v>TO DO</v>
      </c>
      <c r="F20" s="49" t="str">
        <f t="shared" si="40"/>
        <v>TO DO</v>
      </c>
      <c r="G20" s="49" t="b">
        <f t="shared" si="40"/>
        <v>1</v>
      </c>
      <c r="H20" s="49" t="b">
        <f t="shared" si="40"/>
        <v>0</v>
      </c>
      <c r="I20" s="50">
        <f t="shared" si="4"/>
        <v>0.3333333333</v>
      </c>
      <c r="J20" s="51" t="str">
        <f t="shared" ref="J20:N20" si="41">VLOOKUP($A20, INDIRECT(J$1&amp;"!A:D"), 4, FALSE)</f>
        <v/>
      </c>
      <c r="K20" s="51" t="str">
        <f t="shared" si="41"/>
        <v/>
      </c>
      <c r="L20" s="51" t="str">
        <f t="shared" si="41"/>
        <v/>
      </c>
      <c r="M20" s="51" t="str">
        <f t="shared" si="41"/>
        <v/>
      </c>
      <c r="N20" s="51" t="str">
        <f t="shared" si="41"/>
        <v/>
      </c>
      <c r="O20" s="50" t="str">
        <f>IFERROR(__xludf.DUMMYFUNCTION("IF(COUNTA(J20:N20)=0, """", ARRAYFORMULA(""- ""&amp;TEXTJOIN(char(10)&amp;""- "", TRUE, FILTER(J$1:N$1&amp;"": ""&amp;J20:N20, NOT(ISBLANK(J20:N20))))))"),"")</f>
        <v/>
      </c>
      <c r="P20" s="50" t="s">
        <v>432</v>
      </c>
      <c r="Q20" s="52" t="str">
        <f t="shared" si="6"/>
        <v>UNDECIDED</v>
      </c>
      <c r="R20" s="24">
        <f t="shared" si="7"/>
        <v>3</v>
      </c>
    </row>
    <row r="21">
      <c r="A21" s="12" t="str">
        <f>IFERROR(__xludf.DUMMYFUNCTION("""COMPUTED_VALUE"""),"293bd72b65dfbb4252d5df5ee43dee5a")</f>
        <v>293bd72b65dfbb4252d5df5ee43dee5a</v>
      </c>
      <c r="B21" s="12" t="str">
        <f>IFERROR(__xludf.DUMMYFUNCTION("""COMPUTED_VALUE"""),"Indicators can go beyond simple data and illustrate trends or cause-and-effect relationships between different phenomena. Indicators are useful for describing baseline and current conditions (e.g. the amount or magnitude of something) and the performance "&amp;"of a system. They can provide the common language for describing a particular system that is needed for effective and clear communication among interested parties (McCool and Stankey, 2004).")</f>
        <v>Indicators can go beyond simple data and illustrate trends or cause-and-effect relationships between different phenomena. Indicators are useful for describing baseline and current conditions (e.g. the amount or magnitude of something) and the performance of a system. They can provide the common language for describing a particular system that is needed for effective and clear communication among interested parties (McCool and Stankey, 2004).</v>
      </c>
      <c r="C21" s="7"/>
      <c r="D21" s="49" t="b">
        <f t="shared" ref="D21:H21" si="42">VLOOKUP($A21, INDIRECT(D$1&amp;"!A:C"), 3, FALSE)</f>
        <v>0</v>
      </c>
      <c r="E21" s="49" t="b">
        <f t="shared" si="42"/>
        <v>0</v>
      </c>
      <c r="F21" s="49" t="str">
        <f t="shared" si="42"/>
        <v>TO DO</v>
      </c>
      <c r="G21" s="49" t="b">
        <f t="shared" si="42"/>
        <v>0</v>
      </c>
      <c r="H21" s="49" t="b">
        <f t="shared" si="42"/>
        <v>0</v>
      </c>
      <c r="I21" s="50">
        <f t="shared" si="4"/>
        <v>1</v>
      </c>
      <c r="J21" s="51" t="str">
        <f t="shared" ref="J21:N21" si="43">VLOOKUP($A21, INDIRECT(J$1&amp;"!A:D"), 4, FALSE)</f>
        <v/>
      </c>
      <c r="K21" s="51" t="str">
        <f t="shared" si="43"/>
        <v/>
      </c>
      <c r="L21" s="51" t="str">
        <f t="shared" si="43"/>
        <v/>
      </c>
      <c r="M21" s="51" t="str">
        <f t="shared" si="43"/>
        <v/>
      </c>
      <c r="N21" s="51" t="str">
        <f t="shared" si="43"/>
        <v/>
      </c>
      <c r="O21" s="50" t="str">
        <f>IFERROR(__xludf.DUMMYFUNCTION("IF(COUNTA(J21:N21)=0, """", ARRAYFORMULA(""- ""&amp;TEXTJOIN(char(10)&amp;""- "", TRUE, FILTER(J$1:N$1&amp;"": ""&amp;J21:N21, NOT(ISBLANK(J21:N21))))))"),"")</f>
        <v/>
      </c>
      <c r="P21" s="50" t="s">
        <v>432</v>
      </c>
      <c r="Q21" s="52" t="b">
        <f t="shared" si="6"/>
        <v>0</v>
      </c>
      <c r="R21" s="24">
        <f t="shared" si="7"/>
        <v>4</v>
      </c>
    </row>
    <row r="22" hidden="1">
      <c r="A22" s="12" t="str">
        <f>IFERROR(__xludf.DUMMYFUNCTION("""COMPUTED_VALUE"""),"2b1b85e4586716ccac4cfbab9226cc65")</f>
        <v>2b1b85e4586716ccac4cfbab9226cc65</v>
      </c>
      <c r="B22" s="12" t="str">
        <f>IFERROR(__xludf.DUMMYFUNCTION("""COMPUTED_VALUE"""),"Both sugar and bananas have lost preferential access to their traditional European Union (EU) markets in the age of liberalisation of the global economy. In addition, with the frequency of hurricane damage increasing in recent years, it was decided to aba"&amp;"ndon the exports of bananas completely. The bauxite/ alumina industry all but shut down in 2008, when international demand plummeted in the global crisis that was precipitated by the financial crisis of that year. The current owners of the mines and proce"&amp;"ssing facilities have demanded access to cheaper energy as the price for restarting the industry. This is one of the major drivers for the urgent transformation of the energy supply that has become a high priority for the Jamaican government. Forests were"&amp;" cleared, and the habitats they supported were destroyed, to establish the sugar industry in the seventeenth to the nineteenth centuries.")</f>
        <v>Both sugar and bananas have lost preferential access to their traditional European Union (EU) markets in the age of liberalisation of the global economy. In addition, with the frequency of hurricane damage increasing in recent years, it was decided to abandon the exports of bananas completely. The bauxite/ alumina industry all but shut down in 2008, when international demand plummeted in the global crisis that was precipitated by the financial crisis of that year. The current owners of the mines and processing facilities have demanded access to cheaper energy as the price for restarting the industry. This is one of the major drivers for the urgent transformation of the energy supply that has become a high priority for the Jamaican government. Forests were cleared, and the habitats they supported were destroyed, to establish the sugar industry in the seventeenth to the nineteenth centuries.</v>
      </c>
      <c r="C22" s="54" t="s">
        <v>439</v>
      </c>
      <c r="D22" s="49" t="b">
        <f t="shared" ref="D22:H22" si="44">VLOOKUP($A22, INDIRECT(D$1&amp;"!A:C"), 3, FALSE)</f>
        <v>0</v>
      </c>
      <c r="E22" s="49" t="str">
        <f t="shared" si="44"/>
        <v>TO DO</v>
      </c>
      <c r="F22" s="49" t="str">
        <f t="shared" si="44"/>
        <v>TO DO</v>
      </c>
      <c r="G22" s="49" t="b">
        <f t="shared" si="44"/>
        <v>1</v>
      </c>
      <c r="H22" s="49" t="b">
        <f t="shared" si="44"/>
        <v>1</v>
      </c>
      <c r="I22" s="50">
        <f t="shared" si="4"/>
        <v>0.3333333333</v>
      </c>
      <c r="J22" s="51" t="str">
        <f t="shared" ref="J22:N22" si="45">VLOOKUP($A22, INDIRECT(J$1&amp;"!A:D"), 4, FALSE)</f>
        <v/>
      </c>
      <c r="K22" s="51" t="str">
        <f t="shared" si="45"/>
        <v/>
      </c>
      <c r="L22" s="51" t="str">
        <f t="shared" si="45"/>
        <v/>
      </c>
      <c r="M22" s="51" t="str">
        <f t="shared" si="45"/>
        <v/>
      </c>
      <c r="N22" s="51" t="str">
        <f t="shared" si="45"/>
        <v>links to sustainable resource management </v>
      </c>
      <c r="O22" s="50" t="str">
        <f>IFERROR(__xludf.DUMMYFUNCTION("IF(COUNTA(J22:N22)=0, """", ARRAYFORMULA(""- ""&amp;TEXTJOIN(char(10)&amp;""- "", TRUE, FILTER(J$1:N$1&amp;"": ""&amp;J22:N22, NOT(ISBLANK(J22:N22))))))"),"- Steve: links to sustainable resource management ")</f>
        <v>- Steve: links to sustainable resource management </v>
      </c>
      <c r="P22" s="50" t="s">
        <v>440</v>
      </c>
      <c r="Q22" s="52" t="str">
        <f t="shared" si="6"/>
        <v>UNDECIDED</v>
      </c>
      <c r="R22" s="24">
        <f t="shared" si="7"/>
        <v>3</v>
      </c>
      <c r="T22" s="5" t="s">
        <v>441</v>
      </c>
    </row>
    <row r="23">
      <c r="A23" s="12" t="str">
        <f>IFERROR(__xludf.DUMMYFUNCTION("""COMPUTED_VALUE"""),"2d147468df0200d5f90ff5d75bcadbe6")</f>
        <v>2d147468df0200d5f90ff5d75bcadbe6</v>
      </c>
      <c r="B23" s="12" t="str">
        <f>IFERROR(__xludf.DUMMYFUNCTION("""COMPUTED_VALUE"""),"Against a backdrop of social issues, natural resource limits and waste problems, the question of how people live and consume - the lifestyles they pursue - becomes central to sustainability. The continuing increase in population in Asia, Africa and Latin "&amp;"America needs to sustain itself, in a fast growing economic environment, the level of material consumption per person also increases. For example, according to the African development Bank (AtDB 2011), there was a growth rate of 3.1% in the middle-class ("&amp;"defined as those consuming between 2-20 USD per day) in Africa, rising from 126 million people (27%) in 1980 to 350 million (34%) in 2010.")</f>
        <v>Against a backdrop of social issues, natural resource limits and waste problems, the question of how people live and consume - the lifestyles they pursue - becomes central to sustainability. The continuing increase in population in Asia, Africa and Latin America needs to sustain itself, in a fast growing economic environment, the level of material consumption per person also increases. For example, according to the African development Bank (AtDB 2011), there was a growth rate of 3.1% in the middle-class (defined as those consuming between 2-20 USD per day) in Africa, rising from 126 million people (27%) in 1980 to 350 million (34%) in 2010.</v>
      </c>
      <c r="C23" s="49"/>
      <c r="D23" s="49" t="b">
        <f t="shared" ref="D23:H23" si="46">VLOOKUP($A23, INDIRECT(D$1&amp;"!A:C"), 3, FALSE)</f>
        <v>1</v>
      </c>
      <c r="E23" s="49" t="b">
        <f t="shared" si="46"/>
        <v>1</v>
      </c>
      <c r="F23" s="49" t="str">
        <f t="shared" si="46"/>
        <v>TO DO</v>
      </c>
      <c r="G23" s="49" t="b">
        <f t="shared" si="46"/>
        <v>1</v>
      </c>
      <c r="H23" s="49" t="b">
        <f t="shared" si="46"/>
        <v>1</v>
      </c>
      <c r="I23" s="50">
        <f t="shared" si="4"/>
        <v>1</v>
      </c>
      <c r="J23" s="51" t="str">
        <f t="shared" ref="J23:N23" si="47">VLOOKUP($A23, INDIRECT(J$1&amp;"!A:D"), 4, FALSE)</f>
        <v/>
      </c>
      <c r="K23" s="51" t="str">
        <f t="shared" si="47"/>
        <v/>
      </c>
      <c r="L23" s="51" t="str">
        <f t="shared" si="47"/>
        <v/>
      </c>
      <c r="M23" s="51" t="str">
        <f t="shared" si="47"/>
        <v/>
      </c>
      <c r="N23" s="51" t="str">
        <f t="shared" si="47"/>
        <v/>
      </c>
      <c r="O23" s="50" t="str">
        <f>IFERROR(__xludf.DUMMYFUNCTION("IF(COUNTA(J23:N23)=0, """", ARRAYFORMULA(""- ""&amp;TEXTJOIN(char(10)&amp;""- "", TRUE, FILTER(J$1:N$1&amp;"": ""&amp;J23:N23, NOT(ISBLANK(J23:N23))))))"),"")</f>
        <v/>
      </c>
      <c r="P23" s="50" t="s">
        <v>432</v>
      </c>
      <c r="Q23" s="52" t="b">
        <f t="shared" si="6"/>
        <v>1</v>
      </c>
      <c r="R23" s="24">
        <f t="shared" si="7"/>
        <v>4</v>
      </c>
    </row>
    <row r="24">
      <c r="A24" s="12" t="str">
        <f>IFERROR(__xludf.DUMMYFUNCTION("""COMPUTED_VALUE"""),"34b4f1f3f5ea4fe7b006371c5ed60765")</f>
        <v>34b4f1f3f5ea4fe7b006371c5ed60765</v>
      </c>
      <c r="B24" s="12" t="str">
        <f>IFERROR(__xludf.DUMMYFUNCTION("""COMPUTED_VALUE"""),"During the latter two decades, protected areas have gradually become more closely connected to their economic and social environments, with an emphasisto integrate national parksto wider regional and local development processes (see e.g. Puhakka and Saari"&amp;"nen (2013). In peripheries, closer connections between the tourism industry and national parks are used as tools. While the original biocentric conservation policy used to be characterized by top-down governance, stakeholders of the local communities and "&amp;"the tourism industry are today increasingly involved in adaptive management strategies. During the last three decades, international tourist arrivals to Iceland have generally increased, including by 25% over the past six years. The number of internationa"&amp;"l visitors to Iceland was approximately 2.3 million in 2017, which is almost seven times more than the entire Icelandic population. Tourism is now one of the main pillars of the economy and represents the country's largest export sector.")</f>
        <v>During the latter two decades, protected areas have gradually become more closely connected to their economic and social environments, with an emphasisto integrate national parksto wider regional and local development processes (see e.g. Puhakka and Saarinen (2013). In peripheries, closer connections between the tourism industry and national parks are used as tools. While the original biocentric conservation policy used to be characterized by top-down governance, stakeholders of the local communities and the tourism industry are today increasingly involved in adaptive management strategies. During the last three decades, international tourist arrivals to Iceland have generally increased, including by 25% over the past six years. The number of international visitors to Iceland was approximately 2.3 million in 2017, which is almost seven times more than the entire Icelandic population. Tourism is now one of the main pillars of the economy and represents the country's largest export sector.</v>
      </c>
      <c r="C24" s="49"/>
      <c r="D24" s="49" t="b">
        <f t="shared" ref="D24:H24" si="48">VLOOKUP($A24, INDIRECT(D$1&amp;"!A:C"), 3, FALSE)</f>
        <v>0</v>
      </c>
      <c r="E24" s="49" t="b">
        <f t="shared" si="48"/>
        <v>0</v>
      </c>
      <c r="F24" s="49" t="str">
        <f t="shared" si="48"/>
        <v>TO DO</v>
      </c>
      <c r="G24" s="49" t="b">
        <f t="shared" si="48"/>
        <v>0</v>
      </c>
      <c r="H24" s="49" t="b">
        <f t="shared" si="48"/>
        <v>0</v>
      </c>
      <c r="I24" s="50">
        <f t="shared" si="4"/>
        <v>1</v>
      </c>
      <c r="J24" s="51" t="str">
        <f t="shared" ref="J24:N24" si="49">VLOOKUP($A24, INDIRECT(J$1&amp;"!A:D"), 4, FALSE)</f>
        <v/>
      </c>
      <c r="K24" s="51" t="str">
        <f t="shared" si="49"/>
        <v>Fact stating about tourism</v>
      </c>
      <c r="L24" s="51" t="str">
        <f t="shared" si="49"/>
        <v/>
      </c>
      <c r="M24" s="51" t="str">
        <f t="shared" si="49"/>
        <v/>
      </c>
      <c r="N24" s="51" t="str">
        <f t="shared" si="49"/>
        <v/>
      </c>
      <c r="O24" s="50" t="str">
        <f>IFERROR(__xludf.DUMMYFUNCTION("IF(COUNTA(J24:N24)=0, """", ARRAYFORMULA(""- ""&amp;TEXTJOIN(char(10)&amp;""- "", TRUE, FILTER(J$1:N$1&amp;"": ""&amp;J24:N24, NOT(ISBLANK(J24:N24))))))"),"- Gib: Fact stating about tourism")</f>
        <v>- Gib: Fact stating about tourism</v>
      </c>
      <c r="P24" s="50" t="s">
        <v>442</v>
      </c>
      <c r="Q24" s="52" t="b">
        <f t="shared" si="6"/>
        <v>0</v>
      </c>
      <c r="R24" s="24">
        <f t="shared" si="7"/>
        <v>4</v>
      </c>
    </row>
    <row r="25">
      <c r="A25" s="12" t="str">
        <f>IFERROR(__xludf.DUMMYFUNCTION("""COMPUTED_VALUE"""),"1365feccc61adc4814c64ff7d9303893")</f>
        <v>1365feccc61adc4814c64ff7d9303893</v>
      </c>
      <c r="B25" s="12" t="str">
        <f>IFERROR(__xludf.DUMMYFUNCTION("""COMPUTED_VALUE"""),"Further extending the green purchasing requirements to local governments would enhance the effectiveness of the policy, in particular since a large share of public expenditure is invested locally. In expanding its green purchasing policy, the government s"&amp;"hould make sure that it targets goods and services with the highest potential environmental returns. This outcome was achieved with minor increases in public expenditure. Since the introduction of the green public procurement policy, the market shares of "&amp;"eco-friendly products widely used in the public administration have substantially increased (Figure 9). According to MOE’s estimates, the national government’s green purchasing policy resulted in a reduction of C02 emissions by 89 500 tonnes in 2006, whic"&amp;"h is equivalent to the amount of C02 emitted by a town of 42 000 inhabitants. The financial implications of Japan’s green public procurement policy and the overall costs to the Japanese economy of achieving such emission reductions should be assessed and "&amp;"compared with the costs of alternative policy measures.")</f>
        <v>Further extending the green purchasing requirements to local governments would enhance the effectiveness of the policy, in particular since a large share of public expenditure is invested locally. In expanding its green purchasing policy, the government should make sure that it targets goods and services with the highest potential environmental returns. This outcome was achieved with minor increases in public expenditure. Since the introduction of the green public procurement policy, the market shares of eco-friendly products widely used in the public administration have substantially increased (Figure 9). According to MOE’s estimates, the national government’s green purchasing policy resulted in a reduction of C02 emissions by 89 500 tonnes in 2006, which is equivalent to the amount of C02 emitted by a town of 42 000 inhabitants. The financial implications of Japan’s green public procurement policy and the overall costs to the Japanese economy of achieving such emission reductions should be assessed and compared with the costs of alternative policy measures.</v>
      </c>
      <c r="C25" s="53"/>
      <c r="D25" s="49" t="b">
        <f t="shared" ref="D25:H25" si="50">VLOOKUP($A25, INDIRECT(D$1&amp;"!A:C"), 3, FALSE)</f>
        <v>1</v>
      </c>
      <c r="E25" s="49" t="str">
        <f t="shared" si="50"/>
        <v>TO DO</v>
      </c>
      <c r="F25" s="49" t="str">
        <f t="shared" si="50"/>
        <v>TO DO</v>
      </c>
      <c r="G25" s="49" t="b">
        <f t="shared" si="50"/>
        <v>1</v>
      </c>
      <c r="H25" s="49" t="b">
        <f t="shared" si="50"/>
        <v>1</v>
      </c>
      <c r="I25" s="50">
        <f t="shared" si="4"/>
        <v>1</v>
      </c>
      <c r="J25" s="51" t="str">
        <f t="shared" ref="J25:N25" si="51">VLOOKUP($A25, INDIRECT(J$1&amp;"!A:D"), 4, FALSE)</f>
        <v>public procurement</v>
      </c>
      <c r="K25" s="51" t="str">
        <f t="shared" si="51"/>
        <v/>
      </c>
      <c r="L25" s="51" t="str">
        <f t="shared" si="51"/>
        <v/>
      </c>
      <c r="M25" s="51" t="str">
        <f t="shared" si="51"/>
        <v/>
      </c>
      <c r="N25" s="51" t="str">
        <f t="shared" si="51"/>
        <v>on green public procuremnt</v>
      </c>
      <c r="O25" s="50" t="str">
        <f>IFERROR(__xludf.DUMMYFUNCTION("IF(COUNTA(J25:N25)=0, """", ARRAYFORMULA(""- ""&amp;TEXTJOIN(char(10)&amp;""- "", TRUE, FILTER(J$1:N$1&amp;"": ""&amp;J25:N25, NOT(ISBLANK(J25:N25))))))"),"- Finn: public procurement
- Steve: on green public procuremnt")</f>
        <v>- Finn: public procurement
- Steve: on green public procuremnt</v>
      </c>
      <c r="P25" s="50" t="s">
        <v>443</v>
      </c>
      <c r="Q25" s="52" t="b">
        <f t="shared" si="6"/>
        <v>1</v>
      </c>
      <c r="R25" s="24">
        <f t="shared" si="7"/>
        <v>3</v>
      </c>
    </row>
    <row r="26">
      <c r="A26" s="12" t="str">
        <f>IFERROR(__xludf.DUMMYFUNCTION("""COMPUTED_VALUE"""),"3b1add4085af6afe2ca52a55fc3fb5a9")</f>
        <v>3b1add4085af6afe2ca52a55fc3fb5a9</v>
      </c>
      <c r="B26" s="12" t="str">
        <f>IFERROR(__xludf.DUMMYFUNCTION("""COMPUTED_VALUE"""),"In addition, the Major Groups and other Stakeholders (MGOS)21 group seeks to represent all sectors of society in international environmental and developmental policy-making. It appears that MGOS do not have an established position within SAICM, the repres"&amp;"entation of stakeholders is sectoral and the involvement of all major groups is not automatic - for example, organizations focused on promoting the rights of women, children, and indigenous peoples do not routinely participate in SAICM meetings. In 2015, "&amp;"the ICCM4, in its Resolution i/IV (para 5), called for the deepening and broadening of UN system-wide engagement through the work of IOMC and EMG. Furthermore, the WHO has been working with the SAICM Secretariat to provide a service to facilitate access t"&amp;"o the Trust Fund, to establish an informal network of health-sector focal points for sharing experience, and to collect and share information on the capacity-building needs of the health sector (WHO 2010).")</f>
        <v>In addition, the Major Groups and other Stakeholders (MGOS)21 group seeks to represent all sectors of society in international environmental and developmental policy-making. It appears that MGOS do not have an established position within SAICM, the representation of stakeholders is sectoral and the involvement of all major groups is not automatic - for example, organizations focused on promoting the rights of women, children, and indigenous peoples do not routinely participate in SAICM meetings. In 2015, the ICCM4, in its Resolution i/IV (para 5), called for the deepening and broadening of UN system-wide engagement through the work of IOMC and EMG. Furthermore, the WHO has been working with the SAICM Secretariat to provide a service to facilitate access to the Trust Fund, to establish an informal network of health-sector focal points for sharing experience, and to collect and share information on the capacity-building needs of the health sector (WHO 2010).</v>
      </c>
      <c r="C26" s="7"/>
      <c r="D26" s="49" t="b">
        <f t="shared" ref="D26:H26" si="52">VLOOKUP($A26, INDIRECT(D$1&amp;"!A:C"), 3, FALSE)</f>
        <v>0</v>
      </c>
      <c r="E26" s="49" t="str">
        <f t="shared" si="52"/>
        <v>TO DO</v>
      </c>
      <c r="F26" s="49" t="str">
        <f t="shared" si="52"/>
        <v>TO DO</v>
      </c>
      <c r="G26" s="49" t="b">
        <f t="shared" si="52"/>
        <v>0</v>
      </c>
      <c r="H26" s="49" t="b">
        <f t="shared" si="52"/>
        <v>0</v>
      </c>
      <c r="I26" s="50">
        <f t="shared" si="4"/>
        <v>1</v>
      </c>
      <c r="J26" s="51" t="str">
        <f t="shared" ref="J26:N26" si="53">VLOOKUP($A26, INDIRECT(J$1&amp;"!A:D"), 4, FALSE)</f>
        <v/>
      </c>
      <c r="K26" s="51" t="str">
        <f t="shared" si="53"/>
        <v/>
      </c>
      <c r="L26" s="51" t="str">
        <f t="shared" si="53"/>
        <v/>
      </c>
      <c r="M26" s="51" t="str">
        <f t="shared" si="53"/>
        <v/>
      </c>
      <c r="N26" s="51" t="str">
        <f t="shared" si="53"/>
        <v/>
      </c>
      <c r="O26" s="50" t="str">
        <f>IFERROR(__xludf.DUMMYFUNCTION("IF(COUNTA(J26:N26)=0, """", ARRAYFORMULA(""- ""&amp;TEXTJOIN(char(10)&amp;""- "", TRUE, FILTER(J$1:N$1&amp;"": ""&amp;J26:N26, NOT(ISBLANK(J26:N26))))))"),"")</f>
        <v/>
      </c>
      <c r="P26" s="50" t="s">
        <v>432</v>
      </c>
      <c r="Q26" s="52" t="b">
        <f t="shared" si="6"/>
        <v>0</v>
      </c>
      <c r="R26" s="24">
        <f t="shared" si="7"/>
        <v>3</v>
      </c>
    </row>
    <row r="27">
      <c r="A27" s="12" t="str">
        <f>IFERROR(__xludf.DUMMYFUNCTION("""COMPUTED_VALUE"""),"483a4125e7fab32d4fcb2b5d1ffa00d2")</f>
        <v>483a4125e7fab32d4fcb2b5d1ffa00d2</v>
      </c>
      <c r="B27" s="12" t="str">
        <f>IFERROR(__xludf.DUMMYFUNCTION("""COMPUTED_VALUE"""),"The recommendations on waste and materials management are summarised in a box at the end of the chapter. More recently, building on its well-established track record in waste management, the government has been laying the groundwork to stimulate the trans"&amp;"ition towards a circular economy. This is defined as ""an economic system that is predicated on the reusability of products and raw materials and the conservation of natural resources and that pursues the creation of value in each link in the system” (Min"&amp;"istry of Infrastructure and Environment, 2014a).")</f>
        <v>The recommendations on waste and materials management are summarised in a box at the end of the chapter. More recently, building on its well-established track record in waste management, the government has been laying the groundwork to stimulate the transition towards a circular economy. This is defined as "an economic system that is predicated on the reusability of products and raw materials and the conservation of natural resources and that pursues the creation of value in each link in the system” (Ministry of Infrastructure and Environment, 2014a).</v>
      </c>
      <c r="C27" s="49"/>
      <c r="D27" s="49" t="b">
        <f t="shared" ref="D27:H27" si="54">VLOOKUP($A27, INDIRECT(D$1&amp;"!A:C"), 3, FALSE)</f>
        <v>1</v>
      </c>
      <c r="E27" s="49" t="str">
        <f t="shared" si="54"/>
        <v>TO DO</v>
      </c>
      <c r="F27" s="49" t="str">
        <f t="shared" si="54"/>
        <v>TO DO</v>
      </c>
      <c r="G27" s="49" t="b">
        <f t="shared" si="54"/>
        <v>1</v>
      </c>
      <c r="H27" s="49" t="b">
        <f t="shared" si="54"/>
        <v>1</v>
      </c>
      <c r="I27" s="50">
        <f t="shared" si="4"/>
        <v>1</v>
      </c>
      <c r="J27" s="51" t="str">
        <f t="shared" ref="J27:N27" si="55">VLOOKUP($A27, INDIRECT(J$1&amp;"!A:D"), 4, FALSE)</f>
        <v/>
      </c>
      <c r="K27" s="51" t="str">
        <f t="shared" si="55"/>
        <v/>
      </c>
      <c r="L27" s="51" t="str">
        <f t="shared" si="55"/>
        <v/>
      </c>
      <c r="M27" s="51" t="str">
        <f t="shared" si="55"/>
        <v/>
      </c>
      <c r="N27" s="51" t="str">
        <f t="shared" si="55"/>
        <v/>
      </c>
      <c r="O27" s="50" t="str">
        <f>IFERROR(__xludf.DUMMYFUNCTION("IF(COUNTA(J27:N27)=0, """", ARRAYFORMULA(""- ""&amp;TEXTJOIN(char(10)&amp;""- "", TRUE, FILTER(J$1:N$1&amp;"": ""&amp;J27:N27, NOT(ISBLANK(J27:N27))))))"),"")</f>
        <v/>
      </c>
      <c r="P27" s="50" t="s">
        <v>432</v>
      </c>
      <c r="Q27" s="52" t="b">
        <f t="shared" si="6"/>
        <v>1</v>
      </c>
      <c r="R27" s="24">
        <f t="shared" si="7"/>
        <v>3</v>
      </c>
    </row>
    <row r="28">
      <c r="A28" s="12" t="str">
        <f>IFERROR(__xludf.DUMMYFUNCTION("""COMPUTED_VALUE"""),"4305276298bfe07e216b55b3e150ff68")</f>
        <v>4305276298bfe07e216b55b3e150ff68</v>
      </c>
      <c r="B28" s="12" t="str">
        <f>IFERROR(__xludf.DUMMYFUNCTION("""COMPUTED_VALUE"""),"For the last one a comply or explain principle is in use. To enable readers to find the particular sustainability information in the report, GRI is using a mandatory content index table that informs the reader on what page the disclosures or the indicator"&amp;" can be found. The Guidelines of the IIRC are currently in development and will be released as draft in April 2013 and finalized by the end of 2013.")</f>
        <v>For the last one a comply or explain principle is in use. To enable readers to find the particular sustainability information in the report, GRI is using a mandatory content index table that informs the reader on what page the disclosures or the indicator can be found. The Guidelines of the IIRC are currently in development and will be released as draft in April 2013 and finalized by the end of 2013.</v>
      </c>
      <c r="C28" s="53"/>
      <c r="D28" s="49" t="b">
        <f t="shared" ref="D28:H28" si="56">VLOOKUP($A28, INDIRECT(D$1&amp;"!A:C"), 3, FALSE)</f>
        <v>1</v>
      </c>
      <c r="E28" s="49" t="b">
        <f t="shared" si="56"/>
        <v>1</v>
      </c>
      <c r="F28" s="49" t="str">
        <f t="shared" si="56"/>
        <v>TO DO</v>
      </c>
      <c r="G28" s="49" t="str">
        <f t="shared" si="56"/>
        <v>TO DO</v>
      </c>
      <c r="H28" s="49" t="b">
        <f t="shared" si="56"/>
        <v>1</v>
      </c>
      <c r="I28" s="50">
        <f t="shared" si="4"/>
        <v>1</v>
      </c>
      <c r="J28" s="51" t="str">
        <f t="shared" ref="J28:N28" si="57">VLOOKUP($A28, INDIRECT(J$1&amp;"!A:D"), 4, FALSE)</f>
        <v/>
      </c>
      <c r="K28" s="51" t="str">
        <f t="shared" si="57"/>
        <v>Could be false. I assumed that the sustainability information and indicators cover SDG 12 indicators.</v>
      </c>
      <c r="L28" s="51" t="str">
        <f t="shared" si="57"/>
        <v/>
      </c>
      <c r="M28" s="51" t="str">
        <f t="shared" si="57"/>
        <v/>
      </c>
      <c r="N28" s="51" t="str">
        <f t="shared" si="57"/>
        <v/>
      </c>
      <c r="O28" s="50" t="str">
        <f>IFERROR(__xludf.DUMMYFUNCTION("IF(COUNTA(J28:N28)=0, """", ARRAYFORMULA(""- ""&amp;TEXTJOIN(char(10)&amp;""- "", TRUE, FILTER(J$1:N$1&amp;"": ""&amp;J28:N28, NOT(ISBLANK(J28:N28))))))"),"- Gib: Could be false. I assumed that the sustainability information and indicators cover SDG 12 indicators.")</f>
        <v>- Gib: Could be false. I assumed that the sustainability information and indicators cover SDG 12 indicators.</v>
      </c>
      <c r="P28" s="50" t="s">
        <v>444</v>
      </c>
      <c r="Q28" s="52" t="b">
        <f t="shared" si="6"/>
        <v>1</v>
      </c>
      <c r="R28" s="24">
        <f t="shared" si="7"/>
        <v>3</v>
      </c>
    </row>
    <row r="29" hidden="1">
      <c r="A29" s="12" t="str">
        <f>IFERROR(__xludf.DUMMYFUNCTION("""COMPUTED_VALUE"""),"703dd858d96d671944d27c5a06867a10")</f>
        <v>703dd858d96d671944d27c5a06867a10</v>
      </c>
      <c r="B29" s="12" t="str">
        <f>IFERROR(__xludf.DUMMYFUNCTION("""COMPUTED_VALUE"""),"The indicator has an indirect relevance to food waste prevention since the more food waste that is avoided the lower should be the amount of food that is purchased for consumption to provide for the same intake of nutrients. It should be noted that the in"&amp;"dicator is only relevant to reducing food waste at the end point of consum p-tion i.e. in households, restaurants canteens etc. However, the indicator can be affected by factors which are unrelated to waste prevention. These can include changes in food co"&amp;"nsumption behaviour-i.e. However, the indicator has been criticised in the past due to assumptions made in the calculations. Its acceptability as a food waste indicator might also be reduced as it has not been used in this context before.")</f>
        <v>The indicator has an indirect relevance to food waste prevention since the more food waste that is avoided the lower should be the amount of food that is purchased for consumption to provide for the same intake of nutrients. It should be noted that the indicator is only relevant to reducing food waste at the end point of consum p-tion i.e. in households, restaurants canteens etc. However, the indicator can be affected by factors which are unrelated to waste prevention. These can include changes in food consumption behaviour-i.e. However, the indicator has been criticised in the past due to assumptions made in the calculations. Its acceptability as a food waste indicator might also be reduced as it has not been used in this context before.</v>
      </c>
      <c r="C29" s="53"/>
      <c r="D29" s="49" t="b">
        <f t="shared" ref="D29:H29" si="58">VLOOKUP($A29, INDIRECT(D$1&amp;"!A:C"), 3, FALSE)</f>
        <v>1</v>
      </c>
      <c r="E29" s="49" t="str">
        <f t="shared" si="58"/>
        <v>TO DO</v>
      </c>
      <c r="F29" s="49" t="str">
        <f t="shared" si="58"/>
        <v>TO DO</v>
      </c>
      <c r="G29" s="49" t="str">
        <f t="shared" si="58"/>
        <v>TO DO</v>
      </c>
      <c r="H29" s="49" t="b">
        <f t="shared" si="58"/>
        <v>0</v>
      </c>
      <c r="I29" s="50">
        <f t="shared" si="4"/>
        <v>0</v>
      </c>
      <c r="J29" s="51" t="str">
        <f t="shared" ref="J29:N29" si="59">VLOOKUP($A29, INDIRECT(J$1&amp;"!A:D"), 4, FALSE)</f>
        <v/>
      </c>
      <c r="K29" s="51" t="str">
        <f t="shared" si="59"/>
        <v/>
      </c>
      <c r="L29" s="51" t="str">
        <f t="shared" si="59"/>
        <v/>
      </c>
      <c r="M29" s="51" t="str">
        <f t="shared" si="59"/>
        <v/>
      </c>
      <c r="N29" s="51" t="str">
        <f t="shared" si="59"/>
        <v>on data only</v>
      </c>
      <c r="O29" s="50" t="str">
        <f>IFERROR(__xludf.DUMMYFUNCTION("IF(COUNTA(J29:N29)=0, """", ARRAYFORMULA(""- ""&amp;TEXTJOIN(char(10)&amp;""- "", TRUE, FILTER(J$1:N$1&amp;"": ""&amp;J29:N29, NOT(ISBLANK(J29:N29))))))"),"- Steve: on data only")</f>
        <v>- Steve: on data only</v>
      </c>
      <c r="P29" s="50" t="s">
        <v>445</v>
      </c>
      <c r="Q29" s="52" t="str">
        <f t="shared" si="6"/>
        <v>UNDECIDED</v>
      </c>
      <c r="R29" s="24">
        <f t="shared" si="7"/>
        <v>2</v>
      </c>
    </row>
    <row r="30" hidden="1">
      <c r="A30" s="12" t="str">
        <f>IFERROR(__xludf.DUMMYFUNCTION("""COMPUTED_VALUE"""),"83a90deca523f0cfc53e97ed2921a6a6")</f>
        <v>83a90deca523f0cfc53e97ed2921a6a6</v>
      </c>
      <c r="B30" s="12" t="str">
        <f>IFERROR(__xludf.DUMMYFUNCTION("""COMPUTED_VALUE"""),"The importance of considering products and services in terms of their complete lifecycle is introduced and explained. This remains the single most important of the Millennium Development Goals. Economic growth is thus of key importance to developing count"&amp;"ries and many of their policymakers believe that developed countries, having already accomplished a high level of satisfaction of their needs, now wish to suggest frugality and restraint on consumption in the developing world. China, for instance, is now "&amp;"considered the ""factory to the world”.")</f>
        <v>The importance of considering products and services in terms of their complete lifecycle is introduced and explained. This remains the single most important of the Millennium Development Goals. Economic growth is thus of key importance to developing countries and many of their policymakers believe that developed countries, having already accomplished a high level of satisfaction of their needs, now wish to suggest frugality and restraint on consumption in the developing world. China, for instance, is now considered the "factory to the world”.</v>
      </c>
      <c r="C30" s="7" t="s">
        <v>446</v>
      </c>
      <c r="D30" s="49" t="b">
        <f t="shared" ref="D30:H30" si="60">VLOOKUP($A30, INDIRECT(D$1&amp;"!A:C"), 3, FALSE)</f>
        <v>0</v>
      </c>
      <c r="E30" s="49" t="b">
        <f t="shared" si="60"/>
        <v>0</v>
      </c>
      <c r="F30" s="49" t="str">
        <f t="shared" si="60"/>
        <v>TO DO</v>
      </c>
      <c r="G30" s="49" t="b">
        <f t="shared" si="60"/>
        <v>1</v>
      </c>
      <c r="H30" s="49" t="b">
        <f t="shared" si="60"/>
        <v>1</v>
      </c>
      <c r="I30" s="50">
        <f t="shared" si="4"/>
        <v>0</v>
      </c>
      <c r="J30" s="51" t="str">
        <f t="shared" ref="J30:N30" si="61">VLOOKUP($A30, INDIRECT(J$1&amp;"!A:D"), 4, FALSE)</f>
        <v/>
      </c>
      <c r="K30" s="51" t="str">
        <f t="shared" si="61"/>
        <v/>
      </c>
      <c r="L30" s="51" t="str">
        <f t="shared" si="61"/>
        <v/>
      </c>
      <c r="M30" s="51" t="str">
        <f t="shared" si="61"/>
        <v/>
      </c>
      <c r="N30" s="51" t="str">
        <f t="shared" si="61"/>
        <v>resource use efficiency</v>
      </c>
      <c r="O30" s="50" t="str">
        <f>IFERROR(__xludf.DUMMYFUNCTION("IF(COUNTA(J30:N30)=0, """", ARRAYFORMULA(""- ""&amp;TEXTJOIN(char(10)&amp;""- "", TRUE, FILTER(J$1:N$1&amp;"": ""&amp;J30:N30, NOT(ISBLANK(J30:N30))))))"),"- Steve: resource use efficiency")</f>
        <v>- Steve: resource use efficiency</v>
      </c>
      <c r="P30" s="50" t="s">
        <v>447</v>
      </c>
      <c r="Q30" s="52" t="str">
        <f t="shared" si="6"/>
        <v>UNDECIDED</v>
      </c>
      <c r="R30" s="24">
        <f t="shared" si="7"/>
        <v>4</v>
      </c>
    </row>
    <row r="31">
      <c r="A31" s="12" t="str">
        <f>IFERROR(__xludf.DUMMYFUNCTION("""COMPUTED_VALUE"""),"4d5ac9213ea93621546badea52220286")</f>
        <v>4d5ac9213ea93621546badea52220286</v>
      </c>
      <c r="B31" s="12" t="str">
        <f>IFERROR(__xludf.DUMMYFUNCTION("""COMPUTED_VALUE"""),"The project investigates the possibility for using policy actions to support and expand the market for waste plastics in the Nordic region. This has the objective of increasing the recycling of plastics and minimising the down-cycling and incineration of "&amp;"plastic waste. Separately collecting and recycling this plastic waste would have significant economic and environmental benefits. For example, recovering and recycling half of the plastic waste generated in the Nordic countries corresponds roughly to a re"&amp;"duction of greenhouse gas emissions equivalent to the total emissions from cars in the Nordic capitals.")</f>
        <v>The project investigates the possibility for using policy actions to support and expand the market for waste plastics in the Nordic region. This has the objective of increasing the recycling of plastics and minimising the down-cycling and incineration of plastic waste. Separately collecting and recycling this plastic waste would have significant economic and environmental benefits. For example, recovering and recycling half of the plastic waste generated in the Nordic countries corresponds roughly to a reduction of greenhouse gas emissions equivalent to the total emissions from cars in the Nordic capitals.</v>
      </c>
      <c r="C31" s="49"/>
      <c r="D31" s="49" t="b">
        <f t="shared" ref="D31:H31" si="62">VLOOKUP($A31, INDIRECT(D$1&amp;"!A:C"), 3, FALSE)</f>
        <v>1</v>
      </c>
      <c r="E31" s="49" t="str">
        <f t="shared" si="62"/>
        <v>TO DO</v>
      </c>
      <c r="F31" s="49" t="str">
        <f t="shared" si="62"/>
        <v>TO DO</v>
      </c>
      <c r="G31" s="49" t="b">
        <f t="shared" si="62"/>
        <v>1</v>
      </c>
      <c r="H31" s="49" t="b">
        <f t="shared" si="62"/>
        <v>1</v>
      </c>
      <c r="I31" s="50">
        <f t="shared" si="4"/>
        <v>1</v>
      </c>
      <c r="J31" s="51" t="str">
        <f t="shared" ref="J31:N31" si="63">VLOOKUP($A31, INDIRECT(J$1&amp;"!A:D"), 4, FALSE)</f>
        <v/>
      </c>
      <c r="K31" s="51" t="str">
        <f t="shared" si="63"/>
        <v/>
      </c>
      <c r="L31" s="51" t="str">
        <f t="shared" si="63"/>
        <v/>
      </c>
      <c r="M31" s="51" t="str">
        <f t="shared" si="63"/>
        <v/>
      </c>
      <c r="N31" s="51" t="str">
        <f t="shared" si="63"/>
        <v/>
      </c>
      <c r="O31" s="50" t="str">
        <f>IFERROR(__xludf.DUMMYFUNCTION("IF(COUNTA(J31:N31)=0, """", ARRAYFORMULA(""- ""&amp;TEXTJOIN(char(10)&amp;""- "", TRUE, FILTER(J$1:N$1&amp;"": ""&amp;J31:N31, NOT(ISBLANK(J31:N31))))))"),"")</f>
        <v/>
      </c>
      <c r="P31" s="50" t="s">
        <v>432</v>
      </c>
      <c r="Q31" s="52" t="b">
        <f t="shared" si="6"/>
        <v>1</v>
      </c>
      <c r="R31" s="24">
        <f t="shared" si="7"/>
        <v>3</v>
      </c>
    </row>
    <row r="32">
      <c r="A32" s="12" t="str">
        <f>IFERROR(__xludf.DUMMYFUNCTION("""COMPUTED_VALUE"""),"4e9eb663a8c64d8e3cabfe7e4b87d7d0")</f>
        <v>4e9eb663a8c64d8e3cabfe7e4b87d7d0</v>
      </c>
      <c r="B32" s="12" t="str">
        <f>IFERROR(__xludf.DUMMYFUNCTION("""COMPUTED_VALUE"""),"In this sense, it was based on natural resources that were transformed into cement using energy-intensive processes. Again, the viability of this industry assumed cheap energy supplies. Demand for middle-class housing, hotels and physical infrastructure d"&amp;"rove the rapid expansion of the construction sector in the 1950s and 1960s. The supply of housing and hotels was also dependent on imported building materials and construction equipment.")</f>
        <v>In this sense, it was based on natural resources that were transformed into cement using energy-intensive processes. Again, the viability of this industry assumed cheap energy supplies. Demand for middle-class housing, hotels and physical infrastructure drove the rapid expansion of the construction sector in the 1950s and 1960s. The supply of housing and hotels was also dependent on imported building materials and construction equipment.</v>
      </c>
      <c r="C32" s="53"/>
      <c r="D32" s="49" t="b">
        <f t="shared" ref="D32:H32" si="64">VLOOKUP($A32, INDIRECT(D$1&amp;"!A:C"), 3, FALSE)</f>
        <v>0</v>
      </c>
      <c r="E32" s="49" t="str">
        <f t="shared" si="64"/>
        <v>TO DO</v>
      </c>
      <c r="F32" s="49" t="str">
        <f t="shared" si="64"/>
        <v>TO DO</v>
      </c>
      <c r="G32" s="49" t="b">
        <f t="shared" si="64"/>
        <v>0</v>
      </c>
      <c r="H32" s="49" t="b">
        <f t="shared" si="64"/>
        <v>0</v>
      </c>
      <c r="I32" s="50">
        <f t="shared" si="4"/>
        <v>1</v>
      </c>
      <c r="J32" s="51" t="str">
        <f t="shared" ref="J32:N32" si="65">VLOOKUP($A32, INDIRECT(J$1&amp;"!A:D"), 4, FALSE)</f>
        <v/>
      </c>
      <c r="K32" s="51" t="str">
        <f t="shared" si="65"/>
        <v/>
      </c>
      <c r="L32" s="51" t="str">
        <f t="shared" si="65"/>
        <v/>
      </c>
      <c r="M32" s="51" t="str">
        <f t="shared" si="65"/>
        <v/>
      </c>
      <c r="N32" s="51" t="str">
        <f t="shared" si="65"/>
        <v>on resource use, though unsustainable and no notion of trying to improve it</v>
      </c>
      <c r="O32" s="50" t="str">
        <f>IFERROR(__xludf.DUMMYFUNCTION("IF(COUNTA(J32:N32)=0, """", ARRAYFORMULA(""- ""&amp;TEXTJOIN(char(10)&amp;""- "", TRUE, FILTER(J$1:N$1&amp;"": ""&amp;J32:N32, NOT(ISBLANK(J32:N32))))))"),"- Steve: on resource use, though unsustainable and no notion of trying to improve it")</f>
        <v>- Steve: on resource use, though unsustainable and no notion of trying to improve it</v>
      </c>
      <c r="P32" s="50" t="s">
        <v>448</v>
      </c>
      <c r="Q32" s="52" t="b">
        <f t="shared" si="6"/>
        <v>0</v>
      </c>
      <c r="R32" s="24">
        <f t="shared" si="7"/>
        <v>3</v>
      </c>
    </row>
    <row r="33">
      <c r="A33" s="12" t="str">
        <f>IFERROR(__xludf.DUMMYFUNCTION("""COMPUTED_VALUE"""),"53a72b1c4248dc4bbce2a197b5573d72")</f>
        <v>53a72b1c4248dc4bbce2a197b5573d72</v>
      </c>
      <c r="B33" s="12" t="str">
        <f>IFERROR(__xludf.DUMMYFUNCTION("""COMPUTED_VALUE"""),"The transformation process is necessarily long term. With governments elected for five years, there is an inherent tendency to postpone addressing long-term development issues that is all the more difficult in the context of a highly partisan political tr"&amp;"adition that resists consensus over development strategies. Progress in mainstreaming the environmental dimension of sustainable development strategies has been slow. Such policies address cross-cutting issues, and in the Westminster system of sectoral po"&amp;"rtfolio ministerial responsibilities, such issues tend to fall between ministerial responsibilities.")</f>
        <v>The transformation process is necessarily long term. With governments elected for five years, there is an inherent tendency to postpone addressing long-term development issues that is all the more difficult in the context of a highly partisan political tradition that resists consensus over development strategies. Progress in mainstreaming the environmental dimension of sustainable development strategies has been slow. Such policies address cross-cutting issues, and in the Westminster system of sectoral portfolio ministerial responsibilities, such issues tend to fall between ministerial responsibilities.</v>
      </c>
      <c r="C33" s="53"/>
      <c r="D33" s="49" t="b">
        <f t="shared" ref="D33:H33" si="66">VLOOKUP($A33, INDIRECT(D$1&amp;"!A:C"), 3, FALSE)</f>
        <v>0</v>
      </c>
      <c r="E33" s="49" t="b">
        <f t="shared" si="66"/>
        <v>0</v>
      </c>
      <c r="F33" s="49" t="str">
        <f t="shared" si="66"/>
        <v>TO DO</v>
      </c>
      <c r="G33" s="49" t="str">
        <f t="shared" si="66"/>
        <v>TO DO</v>
      </c>
      <c r="H33" s="49" t="b">
        <f t="shared" si="66"/>
        <v>0</v>
      </c>
      <c r="I33" s="50">
        <f t="shared" si="4"/>
        <v>1</v>
      </c>
      <c r="J33" s="51" t="str">
        <f t="shared" ref="J33:N33" si="67">VLOOKUP($A33, INDIRECT(J$1&amp;"!A:D"), 4, FALSE)</f>
        <v/>
      </c>
      <c r="K33" s="51" t="str">
        <f t="shared" si="67"/>
        <v>not specific enough to be considered consumption and production</v>
      </c>
      <c r="L33" s="51" t="str">
        <f t="shared" si="67"/>
        <v/>
      </c>
      <c r="M33" s="51" t="str">
        <f t="shared" si="67"/>
        <v/>
      </c>
      <c r="N33" s="51" t="str">
        <f t="shared" si="67"/>
        <v>12.1 maybe? though more on sustainability strategies in general and not on SCP specifically</v>
      </c>
      <c r="O33" s="50" t="str">
        <f>IFERROR(__xludf.DUMMYFUNCTION("IF(COUNTA(J33:N33)=0, """", ARRAYFORMULA(""- ""&amp;TEXTJOIN(char(10)&amp;""- "", TRUE, FILTER(J$1:N$1&amp;"": ""&amp;J33:N33, NOT(ISBLANK(J33:N33))))))"),"- Gib: not specific enough to be considered consumption and production
- Steve: 12.1 maybe? though more on sustainability strategies in general and not on SCP specifically")</f>
        <v>- Gib: not specific enough to be considered consumption and production
- Steve: 12.1 maybe? though more on sustainability strategies in general and not on SCP specifically</v>
      </c>
      <c r="P33" s="50" t="s">
        <v>449</v>
      </c>
      <c r="Q33" s="52" t="b">
        <f t="shared" si="6"/>
        <v>0</v>
      </c>
      <c r="R33" s="24">
        <f t="shared" si="7"/>
        <v>3</v>
      </c>
    </row>
    <row r="34">
      <c r="A34" s="12" t="str">
        <f>IFERROR(__xludf.DUMMYFUNCTION("""COMPUTED_VALUE"""),"549df2a4d76c942d8369308429752184")</f>
        <v>549df2a4d76c942d8369308429752184</v>
      </c>
      <c r="B34" s="12" t="str">
        <f>IFERROR(__xludf.DUMMYFUNCTION("""COMPUTED_VALUE"""),"This term, however, is often used as a synonym for material productivity. Productivity measurement and analysis of natural resource and material flows complement the traditional indicators of capital, land and labour productivity. Used in parallel, these "&amp;"three types of productivity indicators afford a much deeper understanding of total factor productivity.")</f>
        <v>This term, however, is often used as a synonym for material productivity. Productivity measurement and analysis of natural resource and material flows complement the traditional indicators of capital, land and labour productivity. Used in parallel, these three types of productivity indicators afford a much deeper understanding of total factor productivity.</v>
      </c>
      <c r="C34" s="54" t="s">
        <v>439</v>
      </c>
      <c r="D34" s="49" t="b">
        <f t="shared" ref="D34:H34" si="68">VLOOKUP($A34, INDIRECT(D$1&amp;"!A:C"), 3, FALSE)</f>
        <v>0</v>
      </c>
      <c r="E34" s="49" t="str">
        <f t="shared" si="68"/>
        <v>TO DO</v>
      </c>
      <c r="F34" s="49" t="str">
        <f t="shared" si="68"/>
        <v>TO DO</v>
      </c>
      <c r="G34" s="49" t="b">
        <f t="shared" si="68"/>
        <v>1</v>
      </c>
      <c r="H34" s="49" t="b">
        <f t="shared" si="68"/>
        <v>0</v>
      </c>
      <c r="I34" s="50">
        <f t="shared" si="4"/>
        <v>0.3333333333</v>
      </c>
      <c r="J34" s="51" t="str">
        <f t="shared" ref="J34:N34" si="69">VLOOKUP($A34, INDIRECT(J$1&amp;"!A:D"), 4, FALSE)</f>
        <v/>
      </c>
      <c r="K34" s="51" t="str">
        <f t="shared" si="69"/>
        <v/>
      </c>
      <c r="L34" s="51" t="str">
        <f t="shared" si="69"/>
        <v/>
      </c>
      <c r="M34" s="51" t="str">
        <f t="shared" si="69"/>
        <v/>
      </c>
      <c r="N34" s="51" t="str">
        <f t="shared" si="69"/>
        <v/>
      </c>
      <c r="O34" s="50" t="str">
        <f>IFERROR(__xludf.DUMMYFUNCTION("IF(COUNTA(J34:N34)=0, """", ARRAYFORMULA(""- ""&amp;TEXTJOIN(char(10)&amp;""- "", TRUE, FILTER(J$1:N$1&amp;"": ""&amp;J34:N34, NOT(ISBLANK(J34:N34))))))"),"")</f>
        <v/>
      </c>
      <c r="P34" s="50" t="s">
        <v>432</v>
      </c>
      <c r="Q34" s="52" t="b">
        <v>0</v>
      </c>
      <c r="R34" s="24">
        <f t="shared" si="7"/>
        <v>3</v>
      </c>
      <c r="S34" s="5" t="s">
        <v>450</v>
      </c>
    </row>
    <row r="35">
      <c r="A35" s="12" t="str">
        <f>IFERROR(__xludf.DUMMYFUNCTION("""COMPUTED_VALUE"""),"55eb56bec1db9ca76b6d2aa3c09712e2")</f>
        <v>55eb56bec1db9ca76b6d2aa3c09712e2</v>
      </c>
      <c r="B35" s="12" t="str">
        <f>IFERROR(__xludf.DUMMYFUNCTION("""COMPUTED_VALUE"""),"The World Bank estimates that out of the 500 largest cities in the developing countries, only 4% are deemed credit worthy in international capital markets and 20% on the local markets. Of the available funding over the last 10 years, two-thirds has gone t"&amp;"o just 10 middle-income countries. Making the necessary investment finance available to those who need it most, in the low-income countries, is an urgent priority and a particular challenge.")</f>
        <v>The World Bank estimates that out of the 500 largest cities in the developing countries, only 4% are deemed credit worthy in international capital markets and 20% on the local markets. Of the available funding over the last 10 years, two-thirds has gone to just 10 middle-income countries. Making the necessary investment finance available to those who need it most, in the low-income countries, is an urgent priority and a particular challenge.</v>
      </c>
      <c r="C35" s="54"/>
      <c r="D35" s="49" t="b">
        <f t="shared" ref="D35:H35" si="70">VLOOKUP($A35, INDIRECT(D$1&amp;"!A:C"), 3, FALSE)</f>
        <v>0</v>
      </c>
      <c r="E35" s="49" t="str">
        <f t="shared" si="70"/>
        <v>TO DO</v>
      </c>
      <c r="F35" s="49" t="str">
        <f t="shared" si="70"/>
        <v>TO DO</v>
      </c>
      <c r="G35" s="49" t="b">
        <f t="shared" si="70"/>
        <v>0</v>
      </c>
      <c r="H35" s="49" t="b">
        <f t="shared" si="70"/>
        <v>0</v>
      </c>
      <c r="I35" s="50">
        <f t="shared" si="4"/>
        <v>1</v>
      </c>
      <c r="J35" s="51" t="str">
        <f t="shared" ref="J35:N35" si="71">VLOOKUP($A35, INDIRECT(J$1&amp;"!A:D"), 4, FALSE)</f>
        <v/>
      </c>
      <c r="K35" s="51" t="str">
        <f t="shared" si="71"/>
        <v/>
      </c>
      <c r="L35" s="51" t="str">
        <f t="shared" si="71"/>
        <v/>
      </c>
      <c r="M35" s="51" t="str">
        <f t="shared" si="71"/>
        <v/>
      </c>
      <c r="N35" s="51" t="str">
        <f t="shared" si="71"/>
        <v/>
      </c>
      <c r="O35" s="50" t="str">
        <f>IFERROR(__xludf.DUMMYFUNCTION("IF(COUNTA(J35:N35)=0, """", ARRAYFORMULA(""- ""&amp;TEXTJOIN(char(10)&amp;""- "", TRUE, FILTER(J$1:N$1&amp;"": ""&amp;J35:N35, NOT(ISBLANK(J35:N35))))))"),"")</f>
        <v/>
      </c>
      <c r="P35" s="50" t="s">
        <v>432</v>
      </c>
      <c r="Q35" s="52" t="b">
        <f t="shared" ref="Q35:Q38" si="74">IF(I35=1, D35, "UNDECIDED")</f>
        <v>0</v>
      </c>
      <c r="R35" s="24">
        <f t="shared" si="7"/>
        <v>3</v>
      </c>
    </row>
    <row r="36" hidden="1">
      <c r="A36" s="12" t="str">
        <f>IFERROR(__xludf.DUMMYFUNCTION("""COMPUTED_VALUE"""),"b877f11b0df84d337b544b552a684afd")</f>
        <v>b877f11b0df84d337b544b552a684afd</v>
      </c>
      <c r="B36" s="12" t="str">
        <f>IFERROR(__xludf.DUMMYFUNCTION("""COMPUTED_VALUE"""),"In their comprehensive analysis of revenue management of Scottish tourism attractions, Leask et al. ( Including stakeholders is therefore often perceived from governmental perspectives as an obstacle to efficient planning. Conflict resolution, meditation "&amp;"and the building of a consensus about shared platforms should nevertheless be seen an integral component of sustainable tourism development and planning (Hall, 2008, McCool, 2009). In other words, tourism should be considered in the context of other syste"&amp;"ms that interact with tourism (Ritchie and Crouch, 2003).")</f>
        <v>In their comprehensive analysis of revenue management of Scottish tourism attractions, Leask et al. ( Including stakeholders is therefore often perceived from governmental perspectives as an obstacle to efficient planning. Conflict resolution, meditation and the building of a consensus about shared platforms should nevertheless be seen an integral component of sustainable tourism development and planning (Hall, 2008, McCool, 2009). In other words, tourism should be considered in the context of other systems that interact with tourism (Ritchie and Crouch, 2003).</v>
      </c>
      <c r="C36" s="7" t="s">
        <v>451</v>
      </c>
      <c r="D36" s="49" t="b">
        <f t="shared" ref="D36:H36" si="72">VLOOKUP($A36, INDIRECT(D$1&amp;"!A:C"), 3, FALSE)</f>
        <v>1</v>
      </c>
      <c r="E36" s="49" t="b">
        <f t="shared" si="72"/>
        <v>1</v>
      </c>
      <c r="F36" s="49" t="str">
        <f t="shared" si="72"/>
        <v>TO DO</v>
      </c>
      <c r="G36" s="49" t="b">
        <f t="shared" si="72"/>
        <v>1</v>
      </c>
      <c r="H36" s="49" t="b">
        <f t="shared" si="72"/>
        <v>0</v>
      </c>
      <c r="I36" s="50">
        <f t="shared" si="4"/>
        <v>0.5</v>
      </c>
      <c r="J36" s="51" t="str">
        <f t="shared" ref="J36:N36" si="73">VLOOKUP($A36, INDIRECT(J$1&amp;"!A:D"), 4, FALSE)</f>
        <v/>
      </c>
      <c r="K36" s="51" t="str">
        <f t="shared" si="73"/>
        <v/>
      </c>
      <c r="L36" s="51" t="str">
        <f t="shared" si="73"/>
        <v/>
      </c>
      <c r="M36" s="51" t="str">
        <f t="shared" si="73"/>
        <v/>
      </c>
      <c r="N36" s="51" t="str">
        <f t="shared" si="73"/>
        <v>no monitoring tools</v>
      </c>
      <c r="O36" s="50" t="str">
        <f>IFERROR(__xludf.DUMMYFUNCTION("IF(COUNTA(J36:N36)=0, """", ARRAYFORMULA(""- ""&amp;TEXTJOIN(char(10)&amp;""- "", TRUE, FILTER(J$1:N$1&amp;"": ""&amp;J36:N36, NOT(ISBLANK(J36:N36))))))"),"- Steve: no monitoring tools")</f>
        <v>- Steve: no monitoring tools</v>
      </c>
      <c r="P36" s="50" t="s">
        <v>452</v>
      </c>
      <c r="Q36" s="52" t="str">
        <f t="shared" si="74"/>
        <v>UNDECIDED</v>
      </c>
      <c r="R36" s="24">
        <f t="shared" si="7"/>
        <v>4</v>
      </c>
    </row>
    <row r="37">
      <c r="A37" s="12" t="str">
        <f>IFERROR(__xludf.DUMMYFUNCTION("""COMPUTED_VALUE"""),"e072c8b659169b5939e49be5c5fc3ae3")</f>
        <v>e072c8b659169b5939e49be5c5fc3ae3</v>
      </c>
      <c r="B37" s="12" t="str">
        <f>IFERROR(__xludf.DUMMYFUNCTION("""COMPUTED_VALUE"""),"To do this, Section 1.1 looks at the reasons why fossil-fuel subsidies are generally considered to be harmful for the economy and the environment. Section 1.2 then shows how this helps explain the recent emergence of a consensus for reforming fossil-fuel "&amp;"subsidies, and how this growing consensus has led to a number ofpolicy initiatives internationally and domestically. Section 1.3 then concludes by placing the OECD Inventory onto that broader stage, emphasising the important role it plays in ongoing discu"&amp;"ssions of energy policies and their reform. The use of such data by the OECD is without prejudice to the status of the Golan Heights, East Jerusalem and Israeli settlements in the West Bank under the terms of international law.")</f>
        <v>To do this, Section 1.1 looks at the reasons why fossil-fuel subsidies are generally considered to be harmful for the economy and the environment. Section 1.2 then shows how this helps explain the recent emergence of a consensus for reforming fossil-fuel subsidies, and how this growing consensus has led to a number ofpolicy initiatives internationally and domestically. Section 1.3 then concludes by placing the OECD Inventory onto that broader stage, emphasising the important role it plays in ongoing discussions of energy policies and their reform. The use of such data by the OECD is without prejudice to the status of the Golan Heights, East Jerusalem and Israeli settlements in the West Bank under the terms of international law.</v>
      </c>
      <c r="C37" s="49"/>
      <c r="D37" s="49" t="b">
        <f t="shared" ref="D37:H37" si="75">VLOOKUP($A37, INDIRECT(D$1&amp;"!A:C"), 3, FALSE)</f>
        <v>1</v>
      </c>
      <c r="E37" s="49" t="str">
        <f t="shared" si="75"/>
        <v>TO DO</v>
      </c>
      <c r="F37" s="49" t="str">
        <f t="shared" si="75"/>
        <v>TO DO</v>
      </c>
      <c r="G37" s="49" t="b">
        <f t="shared" si="75"/>
        <v>1</v>
      </c>
      <c r="H37" s="49" t="b">
        <f t="shared" si="75"/>
        <v>1</v>
      </c>
      <c r="I37" s="50">
        <f t="shared" si="4"/>
        <v>1</v>
      </c>
      <c r="J37" s="51" t="str">
        <f t="shared" ref="J37:N37" si="76">VLOOKUP($A37, INDIRECT(J$1&amp;"!A:D"), 4, FALSE)</f>
        <v/>
      </c>
      <c r="K37" s="51" t="str">
        <f t="shared" si="76"/>
        <v/>
      </c>
      <c r="L37" s="51" t="str">
        <f t="shared" si="76"/>
        <v/>
      </c>
      <c r="M37" s="51" t="str">
        <f t="shared" si="76"/>
        <v/>
      </c>
      <c r="N37" s="51" t="str">
        <f t="shared" si="76"/>
        <v/>
      </c>
      <c r="O37" s="50" t="str">
        <f>IFERROR(__xludf.DUMMYFUNCTION("IF(COUNTA(J37:N37)=0, """", ARRAYFORMULA(""- ""&amp;TEXTJOIN(char(10)&amp;""- "", TRUE, FILTER(J$1:N$1&amp;"": ""&amp;J37:N37, NOT(ISBLANK(J37:N37))))))"),"")</f>
        <v/>
      </c>
      <c r="P37" s="50" t="s">
        <v>432</v>
      </c>
      <c r="Q37" s="52" t="b">
        <f t="shared" si="74"/>
        <v>1</v>
      </c>
      <c r="R37" s="24">
        <f t="shared" si="7"/>
        <v>3</v>
      </c>
    </row>
    <row r="38">
      <c r="A38" s="12" t="str">
        <f>IFERROR(__xludf.DUMMYFUNCTION("""COMPUTED_VALUE"""),"642f69433572aed4342a2026f0513b5b")</f>
        <v>642f69433572aed4342a2026f0513b5b</v>
      </c>
      <c r="B38" s="12" t="str">
        <f>IFERROR(__xludf.DUMMYFUNCTION("""COMPUTED_VALUE"""),"If an EIA is carried out, but improperly and leading to environmental damage, the licensed EIA entity must pay compensation. There is also a mismatch between the economic value for animals, their conservation status and their market value (chapter 3). The"&amp;" 2012 Law on Hunting, for example, foresees a reward of 15 per cent of fines imposed to be given to the citizen identifying the person responsible for the violation.")</f>
        <v>If an EIA is carried out, but improperly and leading to environmental damage, the licensed EIA entity must pay compensation. There is also a mismatch between the economic value for animals, their conservation status and their market value (chapter 3). The 2012 Law on Hunting, for example, foresees a reward of 15 per cent of fines imposed to be given to the citizen identifying the person responsible for the violation.</v>
      </c>
      <c r="C38" s="7"/>
      <c r="D38" s="49" t="b">
        <f t="shared" ref="D38:H38" si="77">VLOOKUP($A38, INDIRECT(D$1&amp;"!A:C"), 3, FALSE)</f>
        <v>0</v>
      </c>
      <c r="E38" s="49" t="b">
        <f t="shared" si="77"/>
        <v>0</v>
      </c>
      <c r="F38" s="49" t="str">
        <f t="shared" si="77"/>
        <v>TO DO</v>
      </c>
      <c r="G38" s="49" t="str">
        <f t="shared" si="77"/>
        <v>TO DO</v>
      </c>
      <c r="H38" s="49" t="b">
        <f t="shared" si="77"/>
        <v>0</v>
      </c>
      <c r="I38" s="50">
        <f t="shared" si="4"/>
        <v>1</v>
      </c>
      <c r="J38" s="51" t="str">
        <f t="shared" ref="J38:N38" si="78">VLOOKUP($A38, INDIRECT(J$1&amp;"!A:D"), 4, FALSE)</f>
        <v/>
      </c>
      <c r="K38" s="51" t="str">
        <f t="shared" si="78"/>
        <v/>
      </c>
      <c r="L38" s="51" t="str">
        <f t="shared" si="78"/>
        <v/>
      </c>
      <c r="M38" s="51" t="str">
        <f t="shared" si="78"/>
        <v/>
      </c>
      <c r="N38" s="51" t="str">
        <f t="shared" si="78"/>
        <v/>
      </c>
      <c r="O38" s="50" t="str">
        <f>IFERROR(__xludf.DUMMYFUNCTION("IF(COUNTA(J38:N38)=0, """", ARRAYFORMULA(""- ""&amp;TEXTJOIN(char(10)&amp;""- "", TRUE, FILTER(J$1:N$1&amp;"": ""&amp;J38:N38, NOT(ISBLANK(J38:N38))))))"),"")</f>
        <v/>
      </c>
      <c r="P38" s="50" t="s">
        <v>432</v>
      </c>
      <c r="Q38" s="52" t="b">
        <f t="shared" si="74"/>
        <v>0</v>
      </c>
      <c r="R38" s="24">
        <f t="shared" si="7"/>
        <v>3</v>
      </c>
    </row>
    <row r="39">
      <c r="A39" s="12" t="str">
        <f>IFERROR(__xludf.DUMMYFUNCTION("""COMPUTED_VALUE"""),"64aced7c4d814e32f8a3cfe50ddd81c9")</f>
        <v>64aced7c4d814e32f8a3cfe50ddd81c9</v>
      </c>
      <c r="B39" s="12" t="str">
        <f>IFERROR(__xludf.DUMMYFUNCTION("""COMPUTED_VALUE"""),"These are primarily wind, solar, hydro, biofuels and co-generation. In addition, governments have partnered with private sector and civil society organisations to support small and microenterprises with training and concessionary financing. The annual bud"&amp;"get is Jamaica’s short-term plan. There is also a rolling three-year Medium Term Social and Economic Policy Framework, and an annually revised three-year macroeconomic plan, which frames the annual budget. In theory, all of these should be aligned with on"&amp;"e another within the long-term plan, Vision 2030. In addition, there are ongoing initiatives to prepare parish plans under the Local Sustainable Development Plans, which also ought to be aligned to the national plans.")</f>
        <v>These are primarily wind, solar, hydro, biofuels and co-generation. In addition, governments have partnered with private sector and civil society organisations to support small and microenterprises with training and concessionary financing. The annual budget is Jamaica’s short-term plan. There is also a rolling three-year Medium Term Social and Economic Policy Framework, and an annually revised three-year macroeconomic plan, which frames the annual budget. In theory, all of these should be aligned with one another within the long-term plan, Vision 2030. In addition, there are ongoing initiatives to prepare parish plans under the Local Sustainable Development Plans, which also ought to be aligned to the national plans.</v>
      </c>
      <c r="C39" s="54" t="s">
        <v>451</v>
      </c>
      <c r="D39" s="49" t="b">
        <f t="shared" ref="D39:H39" si="79">VLOOKUP($A39, INDIRECT(D$1&amp;"!A:C"), 3, FALSE)</f>
        <v>0</v>
      </c>
      <c r="E39" s="49" t="b">
        <f t="shared" si="79"/>
        <v>0</v>
      </c>
      <c r="F39" s="49" t="str">
        <f t="shared" si="79"/>
        <v>TO DO</v>
      </c>
      <c r="G39" s="49" t="b">
        <f t="shared" si="79"/>
        <v>1</v>
      </c>
      <c r="H39" s="49" t="b">
        <f t="shared" si="79"/>
        <v>0</v>
      </c>
      <c r="I39" s="50">
        <f t="shared" si="4"/>
        <v>0.5</v>
      </c>
      <c r="J39" s="51" t="str">
        <f t="shared" ref="J39:N39" si="80">VLOOKUP($A39, INDIRECT(J$1&amp;"!A:D"), 4, FALSE)</f>
        <v/>
      </c>
      <c r="K39" s="51" t="str">
        <f t="shared" si="80"/>
        <v/>
      </c>
      <c r="L39" s="51" t="str">
        <f t="shared" si="80"/>
        <v/>
      </c>
      <c r="M39" s="51" t="str">
        <f t="shared" si="80"/>
        <v/>
      </c>
      <c r="N39" s="51" t="str">
        <f t="shared" si="80"/>
        <v/>
      </c>
      <c r="O39" s="50" t="str">
        <f>IFERROR(__xludf.DUMMYFUNCTION("IF(COUNTA(J39:N39)=0, """", ARRAYFORMULA(""- ""&amp;TEXTJOIN(char(10)&amp;""- "", TRUE, FILTER(J$1:N$1&amp;"": ""&amp;J39:N39, NOT(ISBLANK(J39:N39))))))"),"")</f>
        <v/>
      </c>
      <c r="P39" s="50" t="s">
        <v>432</v>
      </c>
      <c r="Q39" s="52" t="b">
        <v>0</v>
      </c>
      <c r="R39" s="24">
        <f t="shared" si="7"/>
        <v>4</v>
      </c>
      <c r="S39" s="5" t="s">
        <v>453</v>
      </c>
    </row>
    <row r="40">
      <c r="A40" s="12" t="str">
        <f>IFERROR(__xludf.DUMMYFUNCTION("""COMPUTED_VALUE"""),"5a35e4bb86235463eff5866e9ee79739")</f>
        <v>5a35e4bb86235463eff5866e9ee79739</v>
      </c>
      <c r="B40" s="12" t="str">
        <f>IFERROR(__xludf.DUMMYFUNCTION("""COMPUTED_VALUE"""),"More sustainable alternatives should be available and easily accessible, as well as suitable infrastructure to make it easier to practice sustainable behaviour. Even well-intended people cannot live sustainably if there are no sustainable products and alt"&amp;"ernatives available. These could include peer pressure, putting more taxes on unsustainable options and funding more sustainable practices. For example by providing input to policy design, in expressing what is meaningful to them and what they care about "&amp;"in real life and in society, in understanding the advantages and disadvantages of certain behavioural patterns.")</f>
        <v>More sustainable alternatives should be available and easily accessible, as well as suitable infrastructure to make it easier to practice sustainable behaviour. Even well-intended people cannot live sustainably if there are no sustainable products and alternatives available. These could include peer pressure, putting more taxes on unsustainable options and funding more sustainable practices. For example by providing input to policy design, in expressing what is meaningful to them and what they care about in real life and in society, in understanding the advantages and disadvantages of certain behavioural patterns.</v>
      </c>
      <c r="C40" s="49"/>
      <c r="D40" s="49" t="b">
        <f t="shared" ref="D40:H40" si="81">VLOOKUP($A40, INDIRECT(D$1&amp;"!A:C"), 3, FALSE)</f>
        <v>1</v>
      </c>
      <c r="E40" s="49" t="str">
        <f t="shared" si="81"/>
        <v>TO DO</v>
      </c>
      <c r="F40" s="49" t="str">
        <f t="shared" si="81"/>
        <v>TO DO</v>
      </c>
      <c r="G40" s="49" t="b">
        <f t="shared" si="81"/>
        <v>1</v>
      </c>
      <c r="H40" s="49" t="b">
        <f t="shared" si="81"/>
        <v>1</v>
      </c>
      <c r="I40" s="50">
        <f t="shared" si="4"/>
        <v>1</v>
      </c>
      <c r="J40" s="51" t="str">
        <f t="shared" ref="J40:N40" si="82">VLOOKUP($A40, INDIRECT(J$1&amp;"!A:D"), 4, FALSE)</f>
        <v/>
      </c>
      <c r="K40" s="51" t="str">
        <f t="shared" si="82"/>
        <v/>
      </c>
      <c r="L40" s="51" t="str">
        <f t="shared" si="82"/>
        <v/>
      </c>
      <c r="M40" s="51" t="str">
        <f t="shared" si="82"/>
        <v/>
      </c>
      <c r="N40" s="51" t="str">
        <f t="shared" si="82"/>
        <v/>
      </c>
      <c r="O40" s="50" t="str">
        <f>IFERROR(__xludf.DUMMYFUNCTION("IF(COUNTA(J40:N40)=0, """", ARRAYFORMULA(""- ""&amp;TEXTJOIN(char(10)&amp;""- "", TRUE, FILTER(J$1:N$1&amp;"": ""&amp;J40:N40, NOT(ISBLANK(J40:N40))))))"),"")</f>
        <v/>
      </c>
      <c r="P40" s="50" t="s">
        <v>432</v>
      </c>
      <c r="Q40" s="52" t="b">
        <f t="shared" ref="Q40:Q46" si="85">IF(I40=1, D40, "UNDECIDED")</f>
        <v>1</v>
      </c>
      <c r="R40" s="24">
        <f t="shared" si="7"/>
        <v>3</v>
      </c>
    </row>
    <row r="41">
      <c r="A41" s="12" t="str">
        <f>IFERROR(__xludf.DUMMYFUNCTION("""COMPUTED_VALUE"""),"6f18255d6435f943053c754e2ff406e0")</f>
        <v>6f18255d6435f943053c754e2ff406e0</v>
      </c>
      <c r="B41" s="12" t="str">
        <f>IFERROR(__xludf.DUMMYFUNCTION("""COMPUTED_VALUE"""),"While this may or may not lead to a net increase in employment, it will change the skill profile of the workforce. Governments should therefore assess new job skill requirements and adjust education and training programmes accordingly. This could help to "&amp;"co-ordinate efforts by engaging key stakeholders, to monitor progress, and generally to provide the political impetus needed to achieve ambitious policy objectives.")</f>
        <v>While this may or may not lead to a net increase in employment, it will change the skill profile of the workforce. Governments should therefore assess new job skill requirements and adjust education and training programmes accordingly. This could help to co-ordinate efforts by engaging key stakeholders, to monitor progress, and generally to provide the political impetus needed to achieve ambitious policy objectives.</v>
      </c>
      <c r="C41" s="7"/>
      <c r="D41" s="49" t="b">
        <f t="shared" ref="D41:H41" si="83">VLOOKUP($A41, INDIRECT(D$1&amp;"!A:C"), 3, FALSE)</f>
        <v>0</v>
      </c>
      <c r="E41" s="49" t="str">
        <f t="shared" si="83"/>
        <v>TO DO</v>
      </c>
      <c r="F41" s="49" t="str">
        <f t="shared" si="83"/>
        <v>TO DO</v>
      </c>
      <c r="G41" s="49" t="b">
        <f t="shared" si="83"/>
        <v>0</v>
      </c>
      <c r="H41" s="49" t="b">
        <f t="shared" si="83"/>
        <v>0</v>
      </c>
      <c r="I41" s="50">
        <f t="shared" si="4"/>
        <v>1</v>
      </c>
      <c r="J41" s="51" t="str">
        <f t="shared" ref="J41:N41" si="84">VLOOKUP($A41, INDIRECT(J$1&amp;"!A:D"), 4, FALSE)</f>
        <v/>
      </c>
      <c r="K41" s="51" t="str">
        <f t="shared" si="84"/>
        <v/>
      </c>
      <c r="L41" s="51" t="str">
        <f t="shared" si="84"/>
        <v/>
      </c>
      <c r="M41" s="51" t="str">
        <f t="shared" si="84"/>
        <v/>
      </c>
      <c r="N41" s="51" t="str">
        <f t="shared" si="84"/>
        <v/>
      </c>
      <c r="O41" s="50" t="str">
        <f>IFERROR(__xludf.DUMMYFUNCTION("IF(COUNTA(J41:N41)=0, """", ARRAYFORMULA(""- ""&amp;TEXTJOIN(char(10)&amp;""- "", TRUE, FILTER(J$1:N$1&amp;"": ""&amp;J41:N41, NOT(ISBLANK(J41:N41))))))"),"")</f>
        <v/>
      </c>
      <c r="P41" s="50" t="s">
        <v>432</v>
      </c>
      <c r="Q41" s="52" t="b">
        <f t="shared" si="85"/>
        <v>0</v>
      </c>
      <c r="R41" s="24">
        <f t="shared" si="7"/>
        <v>3</v>
      </c>
    </row>
    <row r="42">
      <c r="A42" s="12" t="str">
        <f>IFERROR(__xludf.DUMMYFUNCTION("""COMPUTED_VALUE"""),"6f4ffd29a57cb6598908ad274d7dfdaa")</f>
        <v>6f4ffd29a57cb6598908ad274d7dfdaa</v>
      </c>
      <c r="B42" s="12" t="str">
        <f>IFERROR(__xludf.DUMMYFUNCTION("""COMPUTED_VALUE"""),"Not to act is no longer an option. And I was encouraged by the sense of reality shown by the G8-leaders a few weeks ago, when they talked about a 50% cut in global emissions by 2050. It bodes well for the Conference of the Parties to be held in Copenhagen"&amp;" in 2009, where we will work hard to reach a global deal beyond Kyoto.")</f>
        <v>Not to act is no longer an option. And I was encouraged by the sense of reality shown by the G8-leaders a few weeks ago, when they talked about a 50% cut in global emissions by 2050. It bodes well for the Conference of the Parties to be held in Copenhagen in 2009, where we will work hard to reach a global deal beyond Kyoto.</v>
      </c>
      <c r="C42" s="53"/>
      <c r="D42" s="49" t="b">
        <f t="shared" ref="D42:H42" si="86">VLOOKUP($A42, INDIRECT(D$1&amp;"!A:C"), 3, FALSE)</f>
        <v>0</v>
      </c>
      <c r="E42" s="49" t="str">
        <f t="shared" si="86"/>
        <v>TO DO</v>
      </c>
      <c r="F42" s="49" t="str">
        <f t="shared" si="86"/>
        <v>TO DO</v>
      </c>
      <c r="G42" s="49" t="b">
        <f t="shared" si="86"/>
        <v>0</v>
      </c>
      <c r="H42" s="49" t="b">
        <f t="shared" si="86"/>
        <v>0</v>
      </c>
      <c r="I42" s="50">
        <f t="shared" si="4"/>
        <v>1</v>
      </c>
      <c r="J42" s="51" t="str">
        <f t="shared" ref="J42:N42" si="87">VLOOKUP($A42, INDIRECT(J$1&amp;"!A:D"), 4, FALSE)</f>
        <v/>
      </c>
      <c r="K42" s="51" t="str">
        <f t="shared" si="87"/>
        <v/>
      </c>
      <c r="L42" s="51" t="str">
        <f t="shared" si="87"/>
        <v/>
      </c>
      <c r="M42" s="51" t="str">
        <f t="shared" si="87"/>
        <v/>
      </c>
      <c r="N42" s="51" t="str">
        <f t="shared" si="87"/>
        <v/>
      </c>
      <c r="O42" s="50" t="str">
        <f>IFERROR(__xludf.DUMMYFUNCTION("IF(COUNTA(J42:N42)=0, """", ARRAYFORMULA(""- ""&amp;TEXTJOIN(char(10)&amp;""- "", TRUE, FILTER(J$1:N$1&amp;"": ""&amp;J42:N42, NOT(ISBLANK(J42:N42))))))"),"")</f>
        <v/>
      </c>
      <c r="P42" s="50" t="s">
        <v>432</v>
      </c>
      <c r="Q42" s="52" t="b">
        <f t="shared" si="85"/>
        <v>0</v>
      </c>
      <c r="R42" s="24">
        <f t="shared" si="7"/>
        <v>3</v>
      </c>
    </row>
    <row r="43">
      <c r="A43" s="12" t="str">
        <f>IFERROR(__xludf.DUMMYFUNCTION("""COMPUTED_VALUE"""),"78906f21b8873984506469c09306a3e3")</f>
        <v>78906f21b8873984506469c09306a3e3</v>
      </c>
      <c r="B43" s="12" t="str">
        <f>IFERROR(__xludf.DUMMYFUNCTION("""COMPUTED_VALUE"""),"The varied relief has resulted in several distinct climatic regimes, with the prevailing south-east trade winds depositing moisture in the form of rainfall over the central and highest part of the island. A significant feature of Mauritian climatology, ho"&amp;"wever, is the occurrence of tropical cyclones during the summer months. Almost 300 endemic species have been identified, of which the most famous was the Dodo, a large flightless bird now extinct. Permanent human settlement started in the fifteenth centur"&amp;"y and, ever since, the environment has come under severe threat as its few precious resources (such as ebony) have been exploited indiscriminately.")</f>
        <v>The varied relief has resulted in several distinct climatic regimes, with the prevailing south-east trade winds depositing moisture in the form of rainfall over the central and highest part of the island. A significant feature of Mauritian climatology, however, is the occurrence of tropical cyclones during the summer months. Almost 300 endemic species have been identified, of which the most famous was the Dodo, a large flightless bird now extinct. Permanent human settlement started in the fifteenth century and, ever since, the environment has come under severe threat as its few precious resources (such as ebony) have been exploited indiscriminately.</v>
      </c>
      <c r="C43" s="53"/>
      <c r="D43" s="49" t="b">
        <f t="shared" ref="D43:H43" si="88">VLOOKUP($A43, INDIRECT(D$1&amp;"!A:C"), 3, FALSE)</f>
        <v>0</v>
      </c>
      <c r="E43" s="49" t="b">
        <f t="shared" si="88"/>
        <v>0</v>
      </c>
      <c r="F43" s="49" t="str">
        <f t="shared" si="88"/>
        <v>TO DO</v>
      </c>
      <c r="G43" s="49" t="b">
        <f t="shared" si="88"/>
        <v>0</v>
      </c>
      <c r="H43" s="49" t="b">
        <f t="shared" si="88"/>
        <v>0</v>
      </c>
      <c r="I43" s="50">
        <f t="shared" si="4"/>
        <v>1</v>
      </c>
      <c r="J43" s="51" t="str">
        <f t="shared" ref="J43:N43" si="89">VLOOKUP($A43, INDIRECT(J$1&amp;"!A:D"), 4, FALSE)</f>
        <v/>
      </c>
      <c r="K43" s="51" t="str">
        <f t="shared" si="89"/>
        <v/>
      </c>
      <c r="L43" s="51" t="str">
        <f t="shared" si="89"/>
        <v/>
      </c>
      <c r="M43" s="51" t="str">
        <f t="shared" si="89"/>
        <v/>
      </c>
      <c r="N43" s="51" t="str">
        <f t="shared" si="89"/>
        <v/>
      </c>
      <c r="O43" s="50" t="str">
        <f>IFERROR(__xludf.DUMMYFUNCTION("IF(COUNTA(J43:N43)=0, """", ARRAYFORMULA(""- ""&amp;TEXTJOIN(char(10)&amp;""- "", TRUE, FILTER(J$1:N$1&amp;"": ""&amp;J43:N43, NOT(ISBLANK(J43:N43))))))"),"")</f>
        <v/>
      </c>
      <c r="P43" s="50" t="s">
        <v>432</v>
      </c>
      <c r="Q43" s="52" t="b">
        <f t="shared" si="85"/>
        <v>0</v>
      </c>
      <c r="R43" s="24">
        <f t="shared" si="7"/>
        <v>4</v>
      </c>
    </row>
    <row r="44">
      <c r="A44" s="12" t="str">
        <f>IFERROR(__xludf.DUMMYFUNCTION("""COMPUTED_VALUE"""),"e9c0953d695ff92ee3c092d3b13b280c")</f>
        <v>e9c0953d695ff92ee3c092d3b13b280c</v>
      </c>
      <c r="B44" s="12" t="str">
        <f>IFERROR(__xludf.DUMMYFUNCTION("""COMPUTED_VALUE"""),"This increase can be caused by both an actual increase in waste generation and by improved monitoring of collected waste amounts. The average MSW composition was derived from analyses in Minsk, Gomel, Mogilev, Bobruisk and Polotsk (table 6.2). Also, analy"&amp;"sis of waste composition was performed in Minsk Oblast in 2013.")</f>
        <v>This increase can be caused by both an actual increase in waste generation and by improved monitoring of collected waste amounts. The average MSW composition was derived from analyses in Minsk, Gomel, Mogilev, Bobruisk and Polotsk (table 6.2). Also, analysis of waste composition was performed in Minsk Oblast in 2013.</v>
      </c>
      <c r="C44" s="49"/>
      <c r="D44" s="49" t="b">
        <f t="shared" ref="D44:H44" si="90">VLOOKUP($A44, INDIRECT(D$1&amp;"!A:C"), 3, FALSE)</f>
        <v>1</v>
      </c>
      <c r="E44" s="49" t="str">
        <f t="shared" si="90"/>
        <v>TO DO</v>
      </c>
      <c r="F44" s="49" t="str">
        <f t="shared" si="90"/>
        <v>TO DO</v>
      </c>
      <c r="G44" s="49" t="b">
        <f t="shared" si="90"/>
        <v>1</v>
      </c>
      <c r="H44" s="49" t="b">
        <f t="shared" si="90"/>
        <v>1</v>
      </c>
      <c r="I44" s="50">
        <f t="shared" si="4"/>
        <v>1</v>
      </c>
      <c r="J44" s="51" t="str">
        <f t="shared" ref="J44:N44" si="91">VLOOKUP($A44, INDIRECT(J$1&amp;"!A:D"), 4, FALSE)</f>
        <v/>
      </c>
      <c r="K44" s="51" t="str">
        <f t="shared" si="91"/>
        <v/>
      </c>
      <c r="L44" s="51" t="str">
        <f t="shared" si="91"/>
        <v/>
      </c>
      <c r="M44" s="51" t="str">
        <f t="shared" si="91"/>
        <v/>
      </c>
      <c r="N44" s="51" t="str">
        <f t="shared" si="91"/>
        <v/>
      </c>
      <c r="O44" s="50" t="str">
        <f>IFERROR(__xludf.DUMMYFUNCTION("IF(COUNTA(J44:N44)=0, """", ARRAYFORMULA(""- ""&amp;TEXTJOIN(char(10)&amp;""- "", TRUE, FILTER(J$1:N$1&amp;"": ""&amp;J44:N44, NOT(ISBLANK(J44:N44))))))"),"")</f>
        <v/>
      </c>
      <c r="P44" s="50" t="s">
        <v>432</v>
      </c>
      <c r="Q44" s="52" t="b">
        <f t="shared" si="85"/>
        <v>1</v>
      </c>
      <c r="R44" s="24">
        <f t="shared" si="7"/>
        <v>3</v>
      </c>
    </row>
    <row r="45">
      <c r="A45" s="12" t="str">
        <f>IFERROR(__xludf.DUMMYFUNCTION("""COMPUTED_VALUE"""),"1b8a501a7bbb0802fa4a05da3a8cd65a")</f>
        <v>1b8a501a7bbb0802fa4a05da3a8cd65a</v>
      </c>
      <c r="B45" s="12" t="str">
        <f>IFERROR(__xludf.DUMMYFUNCTION("""COMPUTED_VALUE"""),"At the same time internal transparency through environmental management accounting started to increase with a business rationale to improve efficiency and reduce costs, in relation to using natural resources, reducing emissions to air, water and soil, as "&amp;"well as in reducing waste. More recently companies increasingly see the relevance of sustainability for their long term business continuity and identify sustainability challenges as a business growth driver. They even transform their business to address s"&amp;"uch business opportunities. The company, DSM, active in health, nutrition and materials, for example, is not only changing from a chemical company to bio-based solutions, but also focuses its business activities much more on nutrition, as this will be a m"&amp;"ajor global challenge.")</f>
        <v>At the same time internal transparency through environmental management accounting started to increase with a business rationale to improve efficiency and reduce costs, in relation to using natural resources, reducing emissions to air, water and soil, as well as in reducing waste. More recently companies increasingly see the relevance of sustainability for their long term business continuity and identify sustainability challenges as a business growth driver. They even transform their business to address such business opportunities. The company, DSM, active in health, nutrition and materials, for example, is not only changing from a chemical company to bio-based solutions, but also focuses its business activities much more on nutrition, as this will be a major global challenge.</v>
      </c>
      <c r="C45" s="54"/>
      <c r="D45" s="49" t="b">
        <f t="shared" ref="D45:H45" si="92">VLOOKUP($A45, INDIRECT(D$1&amp;"!A:C"), 3, FALSE)</f>
        <v>1</v>
      </c>
      <c r="E45" s="49" t="b">
        <f t="shared" si="92"/>
        <v>1</v>
      </c>
      <c r="F45" s="49" t="str">
        <f t="shared" si="92"/>
        <v>TO DO</v>
      </c>
      <c r="G45" s="49" t="b">
        <f t="shared" si="92"/>
        <v>1</v>
      </c>
      <c r="H45" s="49" t="b">
        <f t="shared" si="92"/>
        <v>1</v>
      </c>
      <c r="I45" s="50">
        <f t="shared" si="4"/>
        <v>1</v>
      </c>
      <c r="J45" s="51" t="str">
        <f t="shared" ref="J45:N45" si="93">VLOOKUP($A45, INDIRECT(J$1&amp;"!A:D"), 4, FALSE)</f>
        <v/>
      </c>
      <c r="K45" s="51" t="str">
        <f t="shared" si="93"/>
        <v/>
      </c>
      <c r="L45" s="51" t="str">
        <f t="shared" si="93"/>
        <v/>
      </c>
      <c r="M45" s="51" t="str">
        <f t="shared" si="93"/>
        <v/>
      </c>
      <c r="N45" s="51" t="str">
        <f t="shared" si="93"/>
        <v/>
      </c>
      <c r="O45" s="50" t="str">
        <f>IFERROR(__xludf.DUMMYFUNCTION("IF(COUNTA(J45:N45)=0, """", ARRAYFORMULA(""- ""&amp;TEXTJOIN(char(10)&amp;""- "", TRUE, FILTER(J$1:N$1&amp;"": ""&amp;J45:N45, NOT(ISBLANK(J45:N45))))))"),"")</f>
        <v/>
      </c>
      <c r="P45" s="50" t="s">
        <v>432</v>
      </c>
      <c r="Q45" s="52" t="b">
        <f t="shared" si="85"/>
        <v>1</v>
      </c>
      <c r="R45" s="24">
        <f t="shared" si="7"/>
        <v>4</v>
      </c>
    </row>
    <row r="46">
      <c r="A46" s="12" t="str">
        <f>IFERROR(__xludf.DUMMYFUNCTION("""COMPUTED_VALUE"""),"84e48d25391c7a7cda69d5f9fb25ee36")</f>
        <v>84e48d25391c7a7cda69d5f9fb25ee36</v>
      </c>
      <c r="B46" s="12" t="str">
        <f>IFERROR(__xludf.DUMMYFUNCTION("""COMPUTED_VALUE"""),"Complementing the theoretical approach outlined in the previous chapter, this chapter focuses on the practical and strategic side of implementation, considering the multiple dimensions of successful implementation. Effective policies therefore often have "&amp;"to be developed in collaboration between line ministries. It is important to have effective mechanisms in place to support such collaboration.")</f>
        <v>Complementing the theoretical approach outlined in the previous chapter, this chapter focuses on the practical and strategic side of implementation, considering the multiple dimensions of successful implementation. Effective policies therefore often have to be developed in collaboration between line ministries. It is important to have effective mechanisms in place to support such collaboration.</v>
      </c>
      <c r="C46" s="53"/>
      <c r="D46" s="49" t="b">
        <f t="shared" ref="D46:H46" si="94">VLOOKUP($A46, INDIRECT(D$1&amp;"!A:C"), 3, FALSE)</f>
        <v>0</v>
      </c>
      <c r="E46" s="49" t="b">
        <f t="shared" si="94"/>
        <v>0</v>
      </c>
      <c r="F46" s="49" t="str">
        <f t="shared" si="94"/>
        <v>TO DO</v>
      </c>
      <c r="G46" s="49" t="str">
        <f t="shared" si="94"/>
        <v>TO DO</v>
      </c>
      <c r="H46" s="49" t="b">
        <f t="shared" si="94"/>
        <v>0</v>
      </c>
      <c r="I46" s="50">
        <f t="shared" si="4"/>
        <v>1</v>
      </c>
      <c r="J46" s="51" t="str">
        <f t="shared" ref="J46:N46" si="95">VLOOKUP($A46, INDIRECT(J$1&amp;"!A:D"), 4, FALSE)</f>
        <v/>
      </c>
      <c r="K46" s="51" t="str">
        <f t="shared" si="95"/>
        <v>Unclear about what the policies are about.</v>
      </c>
      <c r="L46" s="51" t="str">
        <f t="shared" si="95"/>
        <v/>
      </c>
      <c r="M46" s="51" t="str">
        <f t="shared" si="95"/>
        <v/>
      </c>
      <c r="N46" s="51" t="str">
        <f t="shared" si="95"/>
        <v/>
      </c>
      <c r="O46" s="50" t="str">
        <f>IFERROR(__xludf.DUMMYFUNCTION("IF(COUNTA(J46:N46)=0, """", ARRAYFORMULA(""- ""&amp;TEXTJOIN(char(10)&amp;""- "", TRUE, FILTER(J$1:N$1&amp;"": ""&amp;J46:N46, NOT(ISBLANK(J46:N46))))))"),"- Gib: Unclear about what the policies are about.")</f>
        <v>- Gib: Unclear about what the policies are about.</v>
      </c>
      <c r="P46" s="50" t="s">
        <v>454</v>
      </c>
      <c r="Q46" s="52" t="b">
        <f t="shared" si="85"/>
        <v>0</v>
      </c>
      <c r="R46" s="24">
        <f t="shared" si="7"/>
        <v>3</v>
      </c>
    </row>
    <row r="47">
      <c r="A47" s="12" t="str">
        <f>IFERROR(__xludf.DUMMYFUNCTION("""COMPUTED_VALUE"""),"861a903bf623d4873b2e27e84775ea64")</f>
        <v>861a903bf623d4873b2e27e84775ea64</v>
      </c>
      <c r="B47" s="12" t="str">
        <f>IFERROR(__xludf.DUMMYFUNCTION("""COMPUTED_VALUE"""),"In moving towards green growth such frameworks should where applicable be aligned. However, in recent years the term ""accounting"" has also been applied to non-financial aspects. Corporate accounting can be defined as the identification, collection, esti"&amp;"mation, analysis, internal and external reporting, of economic, social and environmental effects and impacts to provide accountability to stakeholders on strategy, actions and performance and to support internal and external decision-making.")</f>
        <v>In moving towards green growth such frameworks should where applicable be aligned. However, in recent years the term "accounting" has also been applied to non-financial aspects. Corporate accounting can be defined as the identification, collection, estimation, analysis, internal and external reporting, of economic, social and environmental effects and impacts to provide accountability to stakeholders on strategy, actions and performance and to support internal and external decision-making.</v>
      </c>
      <c r="C47" s="7" t="s">
        <v>451</v>
      </c>
      <c r="D47" s="49" t="b">
        <f t="shared" ref="D47:H47" si="96">VLOOKUP($A47, INDIRECT(D$1&amp;"!A:C"), 3, FALSE)</f>
        <v>1</v>
      </c>
      <c r="E47" s="49" t="b">
        <f t="shared" si="96"/>
        <v>1</v>
      </c>
      <c r="F47" s="49" t="str">
        <f t="shared" si="96"/>
        <v>TO DO</v>
      </c>
      <c r="G47" s="49" t="b">
        <f t="shared" si="96"/>
        <v>1</v>
      </c>
      <c r="H47" s="49" t="b">
        <f t="shared" si="96"/>
        <v>0</v>
      </c>
      <c r="I47" s="50">
        <f t="shared" si="4"/>
        <v>0.5</v>
      </c>
      <c r="J47" s="51" t="str">
        <f t="shared" ref="J47:N47" si="97">VLOOKUP($A47, INDIRECT(J$1&amp;"!A:D"), 4, FALSE)</f>
        <v/>
      </c>
      <c r="K47" s="51" t="str">
        <f t="shared" si="97"/>
        <v/>
      </c>
      <c r="L47" s="51" t="str">
        <f t="shared" si="97"/>
        <v/>
      </c>
      <c r="M47" s="51" t="str">
        <f t="shared" si="97"/>
        <v/>
      </c>
      <c r="N47" s="51" t="str">
        <f t="shared" si="97"/>
        <v/>
      </c>
      <c r="O47" s="50" t="str">
        <f>IFERROR(__xludf.DUMMYFUNCTION("IF(COUNTA(J47:N47)=0, """", ARRAYFORMULA(""- ""&amp;TEXTJOIN(char(10)&amp;""- "", TRUE, FILTER(J$1:N$1&amp;"": ""&amp;J47:N47, NOT(ISBLANK(J47:N47))))))"),"")</f>
        <v/>
      </c>
      <c r="P47" s="50" t="s">
        <v>432</v>
      </c>
      <c r="Q47" s="52" t="b">
        <v>1</v>
      </c>
      <c r="R47" s="24">
        <f t="shared" si="7"/>
        <v>4</v>
      </c>
      <c r="S47" s="5" t="s">
        <v>455</v>
      </c>
    </row>
    <row r="48">
      <c r="A48" s="12" t="str">
        <f>IFERROR(__xludf.DUMMYFUNCTION("""COMPUTED_VALUE"""),"86236555aba7f7bec5e1aed8f189e77a")</f>
        <v>86236555aba7f7bec5e1aed8f189e77a</v>
      </c>
      <c r="B48" s="12" t="str">
        <f>IFERROR(__xludf.DUMMYFUNCTION("""COMPUTED_VALUE"""),"At local level, the main partners have been the collaboration of local food producers, R0rosmat as well as the R0ros Museum and World Heritage and local businesses. Destination Roros is currently (spring 2016) undergoing the recertification process. Addit"&amp;"ionally, the goal is to encourage even more companies to apply for an environmental certificate and to train more people.")</f>
        <v>At local level, the main partners have been the collaboration of local food producers, R0rosmat as well as the R0ros Museum and World Heritage and local businesses. Destination Roros is currently (spring 2016) undergoing the recertification process. Additionally, the goal is to encourage even more companies to apply for an environmental certificate and to train more people.</v>
      </c>
      <c r="C48" s="7"/>
      <c r="D48" s="49" t="b">
        <f t="shared" ref="D48:H48" si="98">VLOOKUP($A48, INDIRECT(D$1&amp;"!A:C"), 3, FALSE)</f>
        <v>1</v>
      </c>
      <c r="E48" s="49" t="str">
        <f t="shared" si="98"/>
        <v>TO DO</v>
      </c>
      <c r="F48" s="49" t="str">
        <f t="shared" si="98"/>
        <v>TO DO</v>
      </c>
      <c r="G48" s="49" t="b">
        <f t="shared" si="98"/>
        <v>1</v>
      </c>
      <c r="H48" s="49" t="b">
        <f t="shared" si="98"/>
        <v>1</v>
      </c>
      <c r="I48" s="50">
        <f t="shared" si="4"/>
        <v>1</v>
      </c>
      <c r="J48" s="51" t="str">
        <f t="shared" ref="J48:N48" si="99">VLOOKUP($A48, INDIRECT(J$1&amp;"!A:D"), 4, FALSE)</f>
        <v/>
      </c>
      <c r="K48" s="51" t="str">
        <f t="shared" si="99"/>
        <v/>
      </c>
      <c r="L48" s="51" t="str">
        <f t="shared" si="99"/>
        <v/>
      </c>
      <c r="M48" s="51" t="str">
        <f t="shared" si="99"/>
        <v/>
      </c>
      <c r="N48" s="51" t="str">
        <f t="shared" si="99"/>
        <v/>
      </c>
      <c r="O48" s="50" t="str">
        <f>IFERROR(__xludf.DUMMYFUNCTION("IF(COUNTA(J48:N48)=0, """", ARRAYFORMULA(""- ""&amp;TEXTJOIN(char(10)&amp;""- "", TRUE, FILTER(J$1:N$1&amp;"": ""&amp;J48:N48, NOT(ISBLANK(J48:N48))))))"),"")</f>
        <v/>
      </c>
      <c r="P48" s="50" t="s">
        <v>432</v>
      </c>
      <c r="Q48" s="52" t="b">
        <f t="shared" ref="Q48:Q49" si="102">IF(I48=1, D48, "UNDECIDED")</f>
        <v>1</v>
      </c>
      <c r="R48" s="24">
        <f t="shared" si="7"/>
        <v>3</v>
      </c>
    </row>
    <row r="49">
      <c r="A49" s="12" t="str">
        <f>IFERROR(__xludf.DUMMYFUNCTION("""COMPUTED_VALUE"""),"88220c7fe94cff6b5a90c20459c70000")</f>
        <v>88220c7fe94cff6b5a90c20459c70000</v>
      </c>
      <c r="B49" s="12" t="str">
        <f>IFERROR(__xludf.DUMMYFUNCTION("""COMPUTED_VALUE"""),"In recent years, significant improvements in the assessment methodologies have been made in an effort mostly co-ordinated by the UNEP/ SETAC initiative (de Haes, 2002, UNEP, 2003, Jolliet et al., The EU Joint Research Centre has also made an important inp"&amp;"ut in the determination of effective practice in impact assessment, which has resulted in the adoption of 14 default impact categories for the EU footprinting initiative (Product Environmental Footprint (PEF)/ Organisational Environmental Footprint (OEF),"&amp;" European Commission, 2013a, European Commission, 2013b).")</f>
        <v>In recent years, significant improvements in the assessment methodologies have been made in an effort mostly co-ordinated by the UNEP/ SETAC initiative (de Haes, 2002, UNEP, 2003, Jolliet et al., The EU Joint Research Centre has also made an important input in the determination of effective practice in impact assessment, which has resulted in the adoption of 14 default impact categories for the EU footprinting initiative (Product Environmental Footprint (PEF)/ Organisational Environmental Footprint (OEF), European Commission, 2013a, European Commission, 2013b).</v>
      </c>
      <c r="C49" s="7"/>
      <c r="D49" s="49" t="b">
        <f t="shared" ref="D49:H49" si="100">VLOOKUP($A49, INDIRECT(D$1&amp;"!A:C"), 3, FALSE)</f>
        <v>1</v>
      </c>
      <c r="E49" s="49" t="b">
        <f t="shared" si="100"/>
        <v>1</v>
      </c>
      <c r="F49" s="49" t="str">
        <f t="shared" si="100"/>
        <v>TO DO</v>
      </c>
      <c r="G49" s="49" t="str">
        <f t="shared" si="100"/>
        <v>TO DO</v>
      </c>
      <c r="H49" s="49" t="b">
        <f t="shared" si="100"/>
        <v>1</v>
      </c>
      <c r="I49" s="50">
        <f t="shared" si="4"/>
        <v>1</v>
      </c>
      <c r="J49" s="51" t="str">
        <f t="shared" ref="J49:N49" si="101">VLOOKUP($A49, INDIRECT(J$1&amp;"!A:D"), 4, FALSE)</f>
        <v/>
      </c>
      <c r="K49" s="51" t="str">
        <f t="shared" si="101"/>
        <v/>
      </c>
      <c r="L49" s="51" t="str">
        <f t="shared" si="101"/>
        <v/>
      </c>
      <c r="M49" s="51" t="str">
        <f t="shared" si="101"/>
        <v/>
      </c>
      <c r="N49" s="51" t="str">
        <f t="shared" si="101"/>
        <v/>
      </c>
      <c r="O49" s="50" t="str">
        <f>IFERROR(__xludf.DUMMYFUNCTION("IF(COUNTA(J49:N49)=0, """", ARRAYFORMULA(""- ""&amp;TEXTJOIN(char(10)&amp;""- "", TRUE, FILTER(J$1:N$1&amp;"": ""&amp;J49:N49, NOT(ISBLANK(J49:N49))))))"),"")</f>
        <v/>
      </c>
      <c r="P49" s="50" t="s">
        <v>432</v>
      </c>
      <c r="Q49" s="52" t="b">
        <f t="shared" si="102"/>
        <v>1</v>
      </c>
      <c r="R49" s="24">
        <f t="shared" si="7"/>
        <v>3</v>
      </c>
    </row>
    <row r="50">
      <c r="A50" s="12" t="str">
        <f>IFERROR(__xludf.DUMMYFUNCTION("""COMPUTED_VALUE"""),"8928aa79bf65a8ea8b41802634887e4c")</f>
        <v>8928aa79bf65a8ea8b41802634887e4c</v>
      </c>
      <c r="B50" s="12" t="str">
        <f>IFERROR(__xludf.DUMMYFUNCTION("""COMPUTED_VALUE"""),"There are estimated to be 500 international treaties and agreements on the environment (155 biodiversity-related, 179 chemicals-related, 46 land-related, and 196 water-related) and a proliferation of subsidiary bodies for the different conventions and adm"&amp;"inistrative arrangements. Additionally, important are leveraging synergies in responsibilities of conventions across various sectoral policies, with the promotion of joint implementation and coordination of funding sources and programmes, as well as multi"&amp;"-stakeholder outreach and engagement to ensure buy-in.5 Capacity building is required given the increasingly complex scientific and technical issues involved. Meanwhile, critical actions may not be taken with fallout for human and environmental health.")</f>
        <v>There are estimated to be 500 international treaties and agreements on the environment (155 biodiversity-related, 179 chemicals-related, 46 land-related, and 196 water-related) and a proliferation of subsidiary bodies for the different conventions and administrative arrangements. Additionally, important are leveraging synergies in responsibilities of conventions across various sectoral policies, with the promotion of joint implementation and coordination of funding sources and programmes, as well as multi-stakeholder outreach and engagement to ensure buy-in.5 Capacity building is required given the increasingly complex scientific and technical issues involved. Meanwhile, critical actions may not be taken with fallout for human and environmental health.</v>
      </c>
      <c r="C50" s="54" t="s">
        <v>439</v>
      </c>
      <c r="D50" s="49" t="b">
        <f t="shared" ref="D50:H50" si="103">VLOOKUP($A50, INDIRECT(D$1&amp;"!A:C"), 3, FALSE)</f>
        <v>0</v>
      </c>
      <c r="E50" s="49" t="str">
        <f t="shared" si="103"/>
        <v>TO DO</v>
      </c>
      <c r="F50" s="49" t="str">
        <f t="shared" si="103"/>
        <v>TO DO</v>
      </c>
      <c r="G50" s="49" t="b">
        <f t="shared" si="103"/>
        <v>1</v>
      </c>
      <c r="H50" s="49" t="b">
        <f t="shared" si="103"/>
        <v>1</v>
      </c>
      <c r="I50" s="50">
        <f t="shared" si="4"/>
        <v>0.3333333333</v>
      </c>
      <c r="J50" s="51" t="str">
        <f t="shared" ref="J50:N50" si="104">VLOOKUP($A50, INDIRECT(J$1&amp;"!A:D"), 4, FALSE)</f>
        <v/>
      </c>
      <c r="K50" s="51" t="str">
        <f t="shared" si="104"/>
        <v/>
      </c>
      <c r="L50" s="51" t="str">
        <f t="shared" si="104"/>
        <v/>
      </c>
      <c r="M50" s="51" t="str">
        <f t="shared" si="104"/>
        <v/>
      </c>
      <c r="N50" s="51" t="str">
        <f t="shared" si="104"/>
        <v>not fully convinced though</v>
      </c>
      <c r="O50" s="50" t="str">
        <f>IFERROR(__xludf.DUMMYFUNCTION("IF(COUNTA(J50:N50)=0, """", ARRAYFORMULA(""- ""&amp;TEXTJOIN(char(10)&amp;""- "", TRUE, FILTER(J$1:N$1&amp;"": ""&amp;J50:N50, NOT(ISBLANK(J50:N50))))))"),"- Steve: not fully convinced though")</f>
        <v>- Steve: not fully convinced though</v>
      </c>
      <c r="P50" s="50" t="s">
        <v>456</v>
      </c>
      <c r="Q50" s="52" t="b">
        <v>1</v>
      </c>
      <c r="R50" s="24">
        <f t="shared" si="7"/>
        <v>3</v>
      </c>
      <c r="S50" s="5" t="s">
        <v>457</v>
      </c>
    </row>
    <row r="51">
      <c r="A51" s="12" t="str">
        <f>IFERROR(__xludf.DUMMYFUNCTION("""COMPUTED_VALUE"""),"89ca4fa4c89388e266f44db315cd78d8")</f>
        <v>89ca4fa4c89388e266f44db315cd78d8</v>
      </c>
      <c r="B51" s="12" t="str">
        <f>IFERROR(__xludf.DUMMYFUNCTION("""COMPUTED_VALUE"""),"The statement was made in 1972, long before the world became conscious of acceleration in anthropogenic GHG emissions. Nevertheless, Mrs Gandhi’s statement was one of the earliest to create a direct link between environmental concerns and poverty alleviat"&amp;"ion. Neither can the poor be held responsible for the major part of the GHG emissions.")</f>
        <v>The statement was made in 1972, long before the world became conscious of acceleration in anthropogenic GHG emissions. Nevertheless, Mrs Gandhi’s statement was one of the earliest to create a direct link between environmental concerns and poverty alleviation. Neither can the poor be held responsible for the major part of the GHG emissions.</v>
      </c>
      <c r="C51" s="49"/>
      <c r="D51" s="49" t="b">
        <f t="shared" ref="D51:H51" si="105">VLOOKUP($A51, INDIRECT(D$1&amp;"!A:C"), 3, FALSE)</f>
        <v>0</v>
      </c>
      <c r="E51" s="49" t="str">
        <f t="shared" si="105"/>
        <v>TO DO</v>
      </c>
      <c r="F51" s="49" t="str">
        <f t="shared" si="105"/>
        <v>TO DO</v>
      </c>
      <c r="G51" s="49" t="b">
        <f t="shared" si="105"/>
        <v>0</v>
      </c>
      <c r="H51" s="49" t="b">
        <f t="shared" si="105"/>
        <v>0</v>
      </c>
      <c r="I51" s="50">
        <f t="shared" si="4"/>
        <v>1</v>
      </c>
      <c r="J51" s="51" t="str">
        <f t="shared" ref="J51:N51" si="106">VLOOKUP($A51, INDIRECT(J$1&amp;"!A:D"), 4, FALSE)</f>
        <v/>
      </c>
      <c r="K51" s="51" t="str">
        <f t="shared" si="106"/>
        <v/>
      </c>
      <c r="L51" s="51" t="str">
        <f t="shared" si="106"/>
        <v/>
      </c>
      <c r="M51" s="51" t="str">
        <f t="shared" si="106"/>
        <v/>
      </c>
      <c r="N51" s="51" t="str">
        <f t="shared" si="106"/>
        <v/>
      </c>
      <c r="O51" s="50" t="str">
        <f>IFERROR(__xludf.DUMMYFUNCTION("IF(COUNTA(J51:N51)=0, """", ARRAYFORMULA(""- ""&amp;TEXTJOIN(char(10)&amp;""- "", TRUE, FILTER(J$1:N$1&amp;"": ""&amp;J51:N51, NOT(ISBLANK(J51:N51))))))"),"")</f>
        <v/>
      </c>
      <c r="P51" s="50" t="s">
        <v>432</v>
      </c>
      <c r="Q51" s="52" t="b">
        <f t="shared" ref="Q51:Q69" si="109">IF(I51=1, D51, "UNDECIDED")</f>
        <v>0</v>
      </c>
      <c r="R51" s="24">
        <f t="shared" si="7"/>
        <v>3</v>
      </c>
    </row>
    <row r="52" hidden="1">
      <c r="A52" s="12" t="str">
        <f>IFERROR(__xludf.DUMMYFUNCTION("""COMPUTED_VALUE"""),"8b7a84a06c90ba7a095b0307ada9a5f2")</f>
        <v>8b7a84a06c90ba7a095b0307ada9a5f2</v>
      </c>
      <c r="B52" s="12" t="str">
        <f>IFERROR(__xludf.DUMMYFUNCTION("""COMPUTED_VALUE"""),"Additional documentation is required in an application for mineral water use. The issuance of the permit itself, and the signing of a contract with the water user, is done by the State-owned enterprise, Mongol Us (""Mongolian Water""). In the case of the "&amp;"utilization of water for strategically important minerals, the duration of the water use permit is the same as for the exploitation licence.")</f>
        <v>Additional documentation is required in an application for mineral water use. The issuance of the permit itself, and the signing of a contract with the water user, is done by the State-owned enterprise, Mongol Us ("Mongolian Water"). In the case of the utilization of water for strategically important minerals, the duration of the water use permit is the same as for the exploitation licence.</v>
      </c>
      <c r="C52" s="53"/>
      <c r="D52" s="49" t="b">
        <f t="shared" ref="D52:H52" si="107">VLOOKUP($A52, INDIRECT(D$1&amp;"!A:C"), 3, FALSE)</f>
        <v>0</v>
      </c>
      <c r="E52" s="49" t="str">
        <f t="shared" si="107"/>
        <v>TO DO</v>
      </c>
      <c r="F52" s="49" t="str">
        <f t="shared" si="107"/>
        <v>TO DO</v>
      </c>
      <c r="G52" s="49" t="b">
        <f t="shared" si="107"/>
        <v>1</v>
      </c>
      <c r="H52" s="49" t="b">
        <f t="shared" si="107"/>
        <v>0</v>
      </c>
      <c r="I52" s="50">
        <f t="shared" si="4"/>
        <v>0.3333333333</v>
      </c>
      <c r="J52" s="51" t="str">
        <f t="shared" ref="J52:N52" si="108">VLOOKUP($A52, INDIRECT(J$1&amp;"!A:D"), 4, FALSE)</f>
        <v/>
      </c>
      <c r="K52" s="51" t="str">
        <f t="shared" si="108"/>
        <v/>
      </c>
      <c r="L52" s="51" t="str">
        <f t="shared" si="108"/>
        <v/>
      </c>
      <c r="M52" s="51" t="str">
        <f t="shared" si="108"/>
        <v/>
      </c>
      <c r="N52" s="51" t="str">
        <f t="shared" si="108"/>
        <v>though vaguely linked to natural resource management (but without any notion of sustainable use)</v>
      </c>
      <c r="O52" s="50" t="str">
        <f>IFERROR(__xludf.DUMMYFUNCTION("IF(COUNTA(J52:N52)=0, """", ARRAYFORMULA(""- ""&amp;TEXTJOIN(char(10)&amp;""- "", TRUE, FILTER(J$1:N$1&amp;"": ""&amp;J52:N52, NOT(ISBLANK(J52:N52))))))"),"- Steve: though vaguely linked to natural resource management (but without any notion of sustainable use)")</f>
        <v>- Steve: though vaguely linked to natural resource management (but without any notion of sustainable use)</v>
      </c>
      <c r="P52" s="50" t="s">
        <v>458</v>
      </c>
      <c r="Q52" s="52" t="str">
        <f t="shared" si="109"/>
        <v>UNDECIDED</v>
      </c>
      <c r="R52" s="24">
        <f t="shared" si="7"/>
        <v>3</v>
      </c>
    </row>
    <row r="53">
      <c r="A53" s="12" t="str">
        <f>IFERROR(__xludf.DUMMYFUNCTION("""COMPUTED_VALUE"""),"8bfce44dab94a2b5fedbbd3adae56749")</f>
        <v>8bfce44dab94a2b5fedbbd3adae56749</v>
      </c>
      <c r="B53" s="12" t="str">
        <f>IFERROR(__xludf.DUMMYFUNCTION("""COMPUTED_VALUE"""),"This refers to the manufacture, use and disposal of lifestyle goods such as electronics and clothing. Key sectors of high impact include food, housing and transport. In these sectors, wafer, energy and waste can be considered as crosscutting sectors affec"&amp;"ting and affected by almost every lifestyle domain.")</f>
        <v>This refers to the manufacture, use and disposal of lifestyle goods such as electronics and clothing. Key sectors of high impact include food, housing and transport. In these sectors, wafer, energy and waste can be considered as crosscutting sectors affecting and affected by almost every lifestyle domain.</v>
      </c>
      <c r="C53" s="7"/>
      <c r="D53" s="49" t="b">
        <f t="shared" ref="D53:H53" si="110">VLOOKUP($A53, INDIRECT(D$1&amp;"!A:C"), 3, FALSE)</f>
        <v>1</v>
      </c>
      <c r="E53" s="49" t="str">
        <f t="shared" si="110"/>
        <v>TO DO</v>
      </c>
      <c r="F53" s="49" t="str">
        <f t="shared" si="110"/>
        <v>TO DO</v>
      </c>
      <c r="G53" s="49" t="b">
        <f t="shared" si="110"/>
        <v>1</v>
      </c>
      <c r="H53" s="49" t="b">
        <f t="shared" si="110"/>
        <v>1</v>
      </c>
      <c r="I53" s="50">
        <f t="shared" si="4"/>
        <v>1</v>
      </c>
      <c r="J53" s="51" t="str">
        <f t="shared" ref="J53:N53" si="111">VLOOKUP($A53, INDIRECT(J$1&amp;"!A:D"), 4, FALSE)</f>
        <v/>
      </c>
      <c r="K53" s="51" t="str">
        <f t="shared" si="111"/>
        <v/>
      </c>
      <c r="L53" s="51" t="str">
        <f t="shared" si="111"/>
        <v/>
      </c>
      <c r="M53" s="51" t="str">
        <f t="shared" si="111"/>
        <v/>
      </c>
      <c r="N53" s="51" t="str">
        <f t="shared" si="111"/>
        <v/>
      </c>
      <c r="O53" s="50" t="str">
        <f>IFERROR(__xludf.DUMMYFUNCTION("IF(COUNTA(J53:N53)=0, """", ARRAYFORMULA(""- ""&amp;TEXTJOIN(char(10)&amp;""- "", TRUE, FILTER(J$1:N$1&amp;"": ""&amp;J53:N53, NOT(ISBLANK(J53:N53))))))"),"")</f>
        <v/>
      </c>
      <c r="P53" s="50" t="s">
        <v>432</v>
      </c>
      <c r="Q53" s="52" t="b">
        <f t="shared" si="109"/>
        <v>1</v>
      </c>
      <c r="R53" s="24">
        <f t="shared" si="7"/>
        <v>3</v>
      </c>
    </row>
    <row r="54">
      <c r="A54" s="12" t="str">
        <f>IFERROR(__xludf.DUMMYFUNCTION("""COMPUTED_VALUE"""),"7a0048449e06bdb2c71ac177c5ced3c1")</f>
        <v>7a0048449e06bdb2c71ac177c5ced3c1</v>
      </c>
      <c r="B54" s="12" t="str">
        <f>IFERROR(__xludf.DUMMYFUNCTION("""COMPUTED_VALUE"""),"A delicate balance has to be maintained and this is where voluntary initiatives such as the Global Sustainable Tourism Council (GTSC) certification scheme play a critical role: there is no confrontation since the industry has voluntarily agreed to follow "&amp;"norms which will not only meet but frequently exceed the requirements of the law. The recommendations are based on a list of 12 principles for sustainable tourism development. Typically the Sustainable Tourism Criteria established by the j Global Sustaina"&amp;"ble Tourism Council extend to measurable indicators I and an appraisal and certification scheme which is rapaidly gaining j acceptance by the accommodation sector. Laws pertaining to land use, access, waster disposal, I pollution control, minimum wages an"&amp;"d the like exist in almost all | countries: occasionally, these are relaxed for the tourism indistury in some developing countries in an effort to attract foreign tourists and i investments in the industry.")</f>
        <v>A delicate balance has to be maintained and this is where voluntary initiatives such as the Global Sustainable Tourism Council (GTSC) certification scheme play a critical role: there is no confrontation since the industry has voluntarily agreed to follow norms which will not only meet but frequently exceed the requirements of the law. The recommendations are based on a list of 12 principles for sustainable tourism development. Typically the Sustainable Tourism Criteria established by the j Global Sustainable Tourism Council extend to measurable indicators I and an appraisal and certification scheme which is rapaidly gaining j acceptance by the accommodation sector. Laws pertaining to land use, access, waster disposal, I pollution control, minimum wages and the like exist in almost all | countries: occasionally, these are relaxed for the tourism indistury in some developing countries in an effort to attract foreign tourists and i investments in the industry.</v>
      </c>
      <c r="C54" s="53"/>
      <c r="D54" s="49" t="b">
        <f t="shared" ref="D54:H54" si="112">VLOOKUP($A54, INDIRECT(D$1&amp;"!A:C"), 3, FALSE)</f>
        <v>1</v>
      </c>
      <c r="E54" s="49" t="str">
        <f t="shared" si="112"/>
        <v>TO DO</v>
      </c>
      <c r="F54" s="49" t="str">
        <f t="shared" si="112"/>
        <v>TO DO</v>
      </c>
      <c r="G54" s="49" t="b">
        <f t="shared" si="112"/>
        <v>1</v>
      </c>
      <c r="H54" s="49" t="b">
        <f t="shared" si="112"/>
        <v>1</v>
      </c>
      <c r="I54" s="50">
        <f t="shared" si="4"/>
        <v>1</v>
      </c>
      <c r="J54" s="51" t="str">
        <f t="shared" ref="J54:N54" si="113">VLOOKUP($A54, INDIRECT(J$1&amp;"!A:D"), 4, FALSE)</f>
        <v>sustainable consumption in the tourism sector</v>
      </c>
      <c r="K54" s="51" t="str">
        <f t="shared" si="113"/>
        <v/>
      </c>
      <c r="L54" s="51" t="str">
        <f t="shared" si="113"/>
        <v/>
      </c>
      <c r="M54" s="51" t="str">
        <f t="shared" si="113"/>
        <v/>
      </c>
      <c r="N54" s="51" t="str">
        <f t="shared" si="113"/>
        <v/>
      </c>
      <c r="O54" s="50" t="str">
        <f>IFERROR(__xludf.DUMMYFUNCTION("IF(COUNTA(J54:N54)=0, """", ARRAYFORMULA(""- ""&amp;TEXTJOIN(char(10)&amp;""- "", TRUE, FILTER(J$1:N$1&amp;"": ""&amp;J54:N54, NOT(ISBLANK(J54:N54))))))"),"- Finn: sustainable consumption in the tourism sector")</f>
        <v>- Finn: sustainable consumption in the tourism sector</v>
      </c>
      <c r="P54" s="50" t="s">
        <v>459</v>
      </c>
      <c r="Q54" s="52" t="b">
        <f t="shared" si="109"/>
        <v>1</v>
      </c>
      <c r="R54" s="24">
        <f t="shared" si="7"/>
        <v>3</v>
      </c>
    </row>
    <row r="55">
      <c r="A55" s="12" t="str">
        <f>IFERROR(__xludf.DUMMYFUNCTION("""COMPUTED_VALUE"""),"97c185a074f856c7e9768753e9b7046d")</f>
        <v>97c185a074f856c7e9768753e9b7046d</v>
      </c>
      <c r="B55" s="12" t="str">
        <f>IFERROR(__xludf.DUMMYFUNCTION("""COMPUTED_VALUE"""),"Food losses are highest in North America and Oceania, reaching close to 300 kg per person. The focus would need to be on addressing the financial, managerial and technical limitations in harvesting techniques, as well as ensuring adequate storage and cool"&amp;"ing facilities in often challenging climatic conditions. Quantifying postharvest losses in Sub-Saharan Africa with a focus on cereals and pulses Presentation at the Bellagio Workshop on Postharvest Management, 12-14 September 2017. International Food Poli"&amp;"cy Research Institute (IFPRI) has developed a methodology to improve the measurement of food losses across the value chain, as well as to factor in deterioration in quality that result in economic losses.")</f>
        <v>Food losses are highest in North America and Oceania, reaching close to 300 kg per person. The focus would need to be on addressing the financial, managerial and technical limitations in harvesting techniques, as well as ensuring adequate storage and cooling facilities in often challenging climatic conditions. Quantifying postharvest losses in Sub-Saharan Africa with a focus on cereals and pulses Presentation at the Bellagio Workshop on Postharvest Management, 12-14 September 2017. International Food Policy Research Institute (IFPRI) has developed a methodology to improve the measurement of food losses across the value chain, as well as to factor in deterioration in quality that result in economic losses.</v>
      </c>
      <c r="C55" s="53"/>
      <c r="D55" s="49" t="b">
        <f t="shared" ref="D55:H55" si="114">VLOOKUP($A55, INDIRECT(D$1&amp;"!A:C"), 3, FALSE)</f>
        <v>1</v>
      </c>
      <c r="E55" s="49" t="str">
        <f t="shared" si="114"/>
        <v>TO DO</v>
      </c>
      <c r="F55" s="49" t="str">
        <f t="shared" si="114"/>
        <v>TO DO</v>
      </c>
      <c r="G55" s="49" t="b">
        <f t="shared" si="114"/>
        <v>1</v>
      </c>
      <c r="H55" s="49" t="b">
        <f t="shared" si="114"/>
        <v>1</v>
      </c>
      <c r="I55" s="50">
        <f t="shared" si="4"/>
        <v>1</v>
      </c>
      <c r="J55" s="51" t="str">
        <f t="shared" ref="J55:N55" si="115">VLOOKUP($A55, INDIRECT(J$1&amp;"!A:D"), 4, FALSE)</f>
        <v/>
      </c>
      <c r="K55" s="51" t="str">
        <f t="shared" si="115"/>
        <v/>
      </c>
      <c r="L55" s="51" t="str">
        <f t="shared" si="115"/>
        <v/>
      </c>
      <c r="M55" s="51" t="str">
        <f t="shared" si="115"/>
        <v/>
      </c>
      <c r="N55" s="51" t="str">
        <f t="shared" si="115"/>
        <v/>
      </c>
      <c r="O55" s="50" t="str">
        <f>IFERROR(__xludf.DUMMYFUNCTION("IF(COUNTA(J55:N55)=0, """", ARRAYFORMULA(""- ""&amp;TEXTJOIN(char(10)&amp;""- "", TRUE, FILTER(J$1:N$1&amp;"": ""&amp;J55:N55, NOT(ISBLANK(J55:N55))))))"),"")</f>
        <v/>
      </c>
      <c r="P55" s="50" t="s">
        <v>432</v>
      </c>
      <c r="Q55" s="52" t="b">
        <f t="shared" si="109"/>
        <v>1</v>
      </c>
      <c r="R55" s="24">
        <f t="shared" si="7"/>
        <v>3</v>
      </c>
    </row>
    <row r="56" hidden="1">
      <c r="A56" s="12" t="str">
        <f>IFERROR(__xludf.DUMMYFUNCTION("""COMPUTED_VALUE"""),"c2f4320ebfc7a98e97162886129820b2")</f>
        <v>c2f4320ebfc7a98e97162886129820b2</v>
      </c>
      <c r="B56" s="12" t="str">
        <f>IFERROR(__xludf.DUMMYFUNCTION("""COMPUTED_VALUE"""),"As an industry, it often competes for prime real estate and juxtaposes visitors with different cultural practices and values to host communities, with consequent negative influences. Their economies and progress in development have been the subject of int"&amp;"ense scrutiny, as a result of limitations in topographic character, vulnerability to natural disasters, climate changes and related impacts, threats to biological diversity, especially in coastal and marine areas, consumption of scarce natural resources, "&amp;"declining traditional productive sectors, poverty, and their reliance on the travel and tourism industry for economic performance. Large island nations comprising Papua New Guinea, Cuba, Hispaniola (Haiti and the Dominican Republic), Guinea Bissau and tho"&amp;"se located in Central/South America (Suriname, Guyana, Belize) make up the SIDS grouping with geographic areas in excess of 25,000 km2. There is significant variability in GDP per capita, as indicated in figure 8.3, with many of the more developed tourist"&amp;" economies such as Aruba, Singapore, US Virgin Islands (USVI) and the Bahamas, showing higher levels of prosperity.")</f>
        <v>As an industry, it often competes for prime real estate and juxtaposes visitors with different cultural practices and values to host communities, with consequent negative influences. Their economies and progress in development have been the subject of intense scrutiny, as a result of limitations in topographic character, vulnerability to natural disasters, climate changes and related impacts, threats to biological diversity, especially in coastal and marine areas, consumption of scarce natural resources, declining traditional productive sectors, poverty, and their reliance on the travel and tourism industry for economic performance. Large island nations comprising Papua New Guinea, Cuba, Hispaniola (Haiti and the Dominican Republic), Guinea Bissau and those located in Central/South America (Suriname, Guyana, Belize) make up the SIDS grouping with geographic areas in excess of 25,000 km2. There is significant variability in GDP per capita, as indicated in figure 8.3, with many of the more developed tourist economies such as Aruba, Singapore, US Virgin Islands (USVI) and the Bahamas, showing higher levels of prosperity.</v>
      </c>
      <c r="C56" s="7" t="s">
        <v>446</v>
      </c>
      <c r="D56" s="49" t="b">
        <f t="shared" ref="D56:H56" si="116">VLOOKUP($A56, INDIRECT(D$1&amp;"!A:C"), 3, FALSE)</f>
        <v>0</v>
      </c>
      <c r="E56" s="49" t="b">
        <f t="shared" si="116"/>
        <v>1</v>
      </c>
      <c r="F56" s="49" t="str">
        <f t="shared" si="116"/>
        <v>TO DO</v>
      </c>
      <c r="G56" s="49" t="b">
        <f t="shared" si="116"/>
        <v>1</v>
      </c>
      <c r="H56" s="49" t="b">
        <f t="shared" si="116"/>
        <v>0</v>
      </c>
      <c r="I56" s="50">
        <f t="shared" si="4"/>
        <v>0</v>
      </c>
      <c r="J56" s="51" t="str">
        <f t="shared" ref="J56:N56" si="117">VLOOKUP($A56, INDIRECT(J$1&amp;"!A:D"), 4, FALSE)</f>
        <v/>
      </c>
      <c r="K56" s="51" t="str">
        <f t="shared" si="117"/>
        <v/>
      </c>
      <c r="L56" s="51" t="str">
        <f t="shared" si="117"/>
        <v/>
      </c>
      <c r="M56" s="51" t="str">
        <f t="shared" si="117"/>
        <v/>
      </c>
      <c r="N56" s="51" t="str">
        <f t="shared" si="117"/>
        <v/>
      </c>
      <c r="O56" s="50" t="str">
        <f>IFERROR(__xludf.DUMMYFUNCTION("IF(COUNTA(J56:N56)=0, """", ARRAYFORMULA(""- ""&amp;TEXTJOIN(char(10)&amp;""- "", TRUE, FILTER(J$1:N$1&amp;"": ""&amp;J56:N56, NOT(ISBLANK(J56:N56))))))"),"")</f>
        <v/>
      </c>
      <c r="P56" s="50" t="s">
        <v>432</v>
      </c>
      <c r="Q56" s="52" t="str">
        <f t="shared" si="109"/>
        <v>UNDECIDED</v>
      </c>
      <c r="R56" s="24">
        <f t="shared" si="7"/>
        <v>4</v>
      </c>
    </row>
    <row r="57">
      <c r="A57" s="12" t="str">
        <f>IFERROR(__xludf.DUMMYFUNCTION("""COMPUTED_VALUE"""),"989a430a480dfb2df0c37dd028d91db8")</f>
        <v>989a430a480dfb2df0c37dd028d91db8</v>
      </c>
      <c r="B57" s="12" t="str">
        <f>IFERROR(__xludf.DUMMYFUNCTION("""COMPUTED_VALUE"""),"On another note, it is questionable whether there is even a need for a new scientific body for SAICM. As long as there are no legally binding obligations for states under SAICM, a scientific expert panel may not be needed. According to this view, the reco"&amp;"mmendations that SAICM provides could well be created without such a body.")</f>
        <v>On another note, it is questionable whether there is even a need for a new scientific body for SAICM. As long as there are no legally binding obligations for states under SAICM, a scientific expert panel may not be needed. According to this view, the recommendations that SAICM provides could well be created without such a body.</v>
      </c>
      <c r="C57" s="49"/>
      <c r="D57" s="49" t="b">
        <f t="shared" ref="D57:H57" si="118">VLOOKUP($A57, INDIRECT(D$1&amp;"!A:C"), 3, FALSE)</f>
        <v>1</v>
      </c>
      <c r="E57" s="49" t="str">
        <f t="shared" si="118"/>
        <v>TO DO</v>
      </c>
      <c r="F57" s="49" t="str">
        <f t="shared" si="118"/>
        <v>TO DO</v>
      </c>
      <c r="G57" s="49" t="b">
        <f t="shared" si="118"/>
        <v>1</v>
      </c>
      <c r="H57" s="49" t="b">
        <f t="shared" si="118"/>
        <v>1</v>
      </c>
      <c r="I57" s="50">
        <f t="shared" si="4"/>
        <v>1</v>
      </c>
      <c r="J57" s="51" t="str">
        <f t="shared" ref="J57:N57" si="119">VLOOKUP($A57, INDIRECT(J$1&amp;"!A:D"), 4, FALSE)</f>
        <v>SAICM = Strategic Approach to International Chemicals Management</v>
      </c>
      <c r="K57" s="51" t="str">
        <f t="shared" si="119"/>
        <v/>
      </c>
      <c r="L57" s="51" t="str">
        <f t="shared" si="119"/>
        <v/>
      </c>
      <c r="M57" s="51" t="str">
        <f t="shared" si="119"/>
        <v/>
      </c>
      <c r="N57" s="51" t="str">
        <f t="shared" si="119"/>
        <v>SAICM strategic approach on integrated chemical management</v>
      </c>
      <c r="O57" s="50" t="str">
        <f>IFERROR(__xludf.DUMMYFUNCTION("IF(COUNTA(J57:N57)=0, """", ARRAYFORMULA(""- ""&amp;TEXTJOIN(char(10)&amp;""- "", TRUE, FILTER(J$1:N$1&amp;"": ""&amp;J57:N57, NOT(ISBLANK(J57:N57))))))"),"- Finn: SAICM = Strategic Approach to International Chemicals Management
- Steve: SAICM strategic approach on integrated chemical management")</f>
        <v>- Finn: SAICM = Strategic Approach to International Chemicals Management
- Steve: SAICM strategic approach on integrated chemical management</v>
      </c>
      <c r="P57" s="50" t="s">
        <v>460</v>
      </c>
      <c r="Q57" s="52" t="b">
        <f t="shared" si="109"/>
        <v>1</v>
      </c>
      <c r="R57" s="24">
        <f t="shared" si="7"/>
        <v>3</v>
      </c>
    </row>
    <row r="58">
      <c r="A58" s="12" t="str">
        <f>IFERROR(__xludf.DUMMYFUNCTION("""COMPUTED_VALUE"""),"cd39a832a230705ef131f4d8b858f65f")</f>
        <v>cd39a832a230705ef131f4d8b858f65f</v>
      </c>
      <c r="B58" s="12" t="str">
        <f>IFERROR(__xludf.DUMMYFUNCTION("""COMPUTED_VALUE"""),"Once among the least developed Western economies, with high levels of emigration, since 2003 Ireland has enjoyed the third highest per capita GDP in OECD Europe (Figure 6.1).1 The growing economy attracted an inflow of foreign workers, the unemployment ra"&amp;"te was 4.7% in 2007, below the OECD average. In the first half of the 2000s, large public sector deficits were transformed into substantial surpluses and the ratio of national debt to GNP was greatly reduced, while the tax-to-GDP ratio remained low (31.9%"&amp;" of GDP in 2006, compared with an OECD Europe average of 38%). The combination of a low corporate tax (12.5%), state grants and access to the European single market boosted foreign direct investment.")</f>
        <v>Once among the least developed Western economies, with high levels of emigration, since 2003 Ireland has enjoyed the third highest per capita GDP in OECD Europe (Figure 6.1).1 The growing economy attracted an inflow of foreign workers, the unemployment rate was 4.7% in 2007, below the OECD average. In the first half of the 2000s, large public sector deficits were transformed into substantial surpluses and the ratio of national debt to GNP was greatly reduced, while the tax-to-GDP ratio remained low (31.9% of GDP in 2006, compared with an OECD Europe average of 38%). The combination of a low corporate tax (12.5%), state grants and access to the European single market boosted foreign direct investment.</v>
      </c>
      <c r="C58" s="7"/>
      <c r="D58" s="49" t="b">
        <f t="shared" ref="D58:H58" si="120">VLOOKUP($A58, INDIRECT(D$1&amp;"!A:C"), 3, FALSE)</f>
        <v>0</v>
      </c>
      <c r="E58" s="49" t="b">
        <f t="shared" si="120"/>
        <v>0</v>
      </c>
      <c r="F58" s="49" t="str">
        <f t="shared" si="120"/>
        <v>TO DO</v>
      </c>
      <c r="G58" s="49" t="str">
        <f t="shared" si="120"/>
        <v>TO DO</v>
      </c>
      <c r="H58" s="49" t="b">
        <f t="shared" si="120"/>
        <v>0</v>
      </c>
      <c r="I58" s="50">
        <f t="shared" si="4"/>
        <v>1</v>
      </c>
      <c r="J58" s="51" t="str">
        <f t="shared" ref="J58:N58" si="121">VLOOKUP($A58, INDIRECT(J$1&amp;"!A:D"), 4, FALSE)</f>
        <v/>
      </c>
      <c r="K58" s="51" t="str">
        <f t="shared" si="121"/>
        <v/>
      </c>
      <c r="L58" s="51" t="str">
        <f t="shared" si="121"/>
        <v/>
      </c>
      <c r="M58" s="51" t="str">
        <f t="shared" si="121"/>
        <v/>
      </c>
      <c r="N58" s="51" t="str">
        <f t="shared" si="121"/>
        <v/>
      </c>
      <c r="O58" s="50" t="str">
        <f>IFERROR(__xludf.DUMMYFUNCTION("IF(COUNTA(J58:N58)=0, """", ARRAYFORMULA(""- ""&amp;TEXTJOIN(char(10)&amp;""- "", TRUE, FILTER(J$1:N$1&amp;"": ""&amp;J58:N58, NOT(ISBLANK(J58:N58))))))"),"")</f>
        <v/>
      </c>
      <c r="P58" s="50" t="s">
        <v>432</v>
      </c>
      <c r="Q58" s="52" t="b">
        <f t="shared" si="109"/>
        <v>0</v>
      </c>
      <c r="R58" s="24">
        <f t="shared" si="7"/>
        <v>3</v>
      </c>
    </row>
    <row r="59">
      <c r="A59" s="12" t="str">
        <f>IFERROR(__xludf.DUMMYFUNCTION("""COMPUTED_VALUE"""),"f83637f12da543fd9df8cb97ade0ef3c")</f>
        <v>f83637f12da543fd9df8cb97ade0ef3c</v>
      </c>
      <c r="B59" s="12" t="str">
        <f>IFERROR(__xludf.DUMMYFUNCTION("""COMPUTED_VALUE"""),"There are also examples at the national level. The Dutch Sustainable Growth Coalition, for example, unites the eighth largest big multinationals in shaping, sharing and stimulating sustainable business models. The changing role of business in society is a"&amp;"lso reflected in the increased participation by businesses in the discussions in various forums of the United Nations such as UN Global Compact, the development of the UN Sustainable Development Goals, as well as at international conferences such as the R"&amp;"io+20 conference, which confirmed the importance of corporate sustainability reporting. When moving towards green growth requires a joint public private approach then there should also be more convergence between public and private measurement and reporti"&amp;"ng to follow the progress made to achieve the goals of green growth.")</f>
        <v>There are also examples at the national level. The Dutch Sustainable Growth Coalition, for example, unites the eighth largest big multinationals in shaping, sharing and stimulating sustainable business models. The changing role of business in society is also reflected in the increased participation by businesses in the discussions in various forums of the United Nations such as UN Global Compact, the development of the UN Sustainable Development Goals, as well as at international conferences such as the Rio+20 conference, which confirmed the importance of corporate sustainability reporting. When moving towards green growth requires a joint public private approach then there should also be more convergence between public and private measurement and reporting to follow the progress made to achieve the goals of green growth.</v>
      </c>
      <c r="C59" s="53"/>
      <c r="D59" s="49" t="b">
        <f t="shared" ref="D59:H59" si="122">VLOOKUP($A59, INDIRECT(D$1&amp;"!A:C"), 3, FALSE)</f>
        <v>1</v>
      </c>
      <c r="E59" s="49" t="str">
        <f t="shared" si="122"/>
        <v>TO DO</v>
      </c>
      <c r="F59" s="49" t="str">
        <f t="shared" si="122"/>
        <v>TO DO</v>
      </c>
      <c r="G59" s="49" t="b">
        <f t="shared" si="122"/>
        <v>1</v>
      </c>
      <c r="H59" s="49" t="b">
        <f t="shared" si="122"/>
        <v>1</v>
      </c>
      <c r="I59" s="50">
        <f t="shared" si="4"/>
        <v>1</v>
      </c>
      <c r="J59" s="51" t="str">
        <f t="shared" ref="J59:N59" si="123">VLOOKUP($A59, INDIRECT(J$1&amp;"!A:D"), 4, FALSE)</f>
        <v>corporate sustainability reporting</v>
      </c>
      <c r="K59" s="51" t="str">
        <f t="shared" si="123"/>
        <v/>
      </c>
      <c r="L59" s="51" t="str">
        <f t="shared" si="123"/>
        <v/>
      </c>
      <c r="M59" s="51" t="str">
        <f t="shared" si="123"/>
        <v/>
      </c>
      <c r="N59" s="51" t="str">
        <f t="shared" si="123"/>
        <v>csr reporting</v>
      </c>
      <c r="O59" s="50" t="str">
        <f>IFERROR(__xludf.DUMMYFUNCTION("IF(COUNTA(J59:N59)=0, """", ARRAYFORMULA(""- ""&amp;TEXTJOIN(char(10)&amp;""- "", TRUE, FILTER(J$1:N$1&amp;"": ""&amp;J59:N59, NOT(ISBLANK(J59:N59))))))"),"- Finn: corporate sustainability reporting
- Steve: csr reporting")</f>
        <v>- Finn: corporate sustainability reporting
- Steve: csr reporting</v>
      </c>
      <c r="P59" s="50" t="s">
        <v>461</v>
      </c>
      <c r="Q59" s="52" t="b">
        <f t="shared" si="109"/>
        <v>1</v>
      </c>
      <c r="R59" s="24">
        <f t="shared" si="7"/>
        <v>3</v>
      </c>
    </row>
    <row r="60">
      <c r="A60" s="12" t="str">
        <f>IFERROR(__xludf.DUMMYFUNCTION("""COMPUTED_VALUE"""),"fa745ce3576ef1930376e33760b5d835")</f>
        <v>fa745ce3576ef1930376e33760b5d835</v>
      </c>
      <c r="B60" s="12" t="str">
        <f>IFERROR(__xludf.DUMMYFUNCTION("""COMPUTED_VALUE"""),"It can provide better recreational and cultural facilities but also create overcrowding, traffic congestion, litter, vandalism and crime (UNESCAP 2003). Started as the World Tourism Organisation in 1970 when its statutes were adopted, it became a working "&amp;"entity in 1975 with Headquarters in Madrid and joined the UN system in 2003, becoming known as UNWTO. Following the recommendations of the Johannesburg Plan of Implementation (JPOI) that “developed countries must take the lead"" in accelerating the shift "&amp;"towards more sustainable consumption and production, each of the Marrakech Task Forces was chaired by a developed country.")</f>
        <v>It can provide better recreational and cultural facilities but also create overcrowding, traffic congestion, litter, vandalism and crime (UNESCAP 2003). Started as the World Tourism Organisation in 1970 when its statutes were adopted, it became a working entity in 1975 with Headquarters in Madrid and joined the UN system in 2003, becoming known as UNWTO. Following the recommendations of the Johannesburg Plan of Implementation (JPOI) that “developed countries must take the lead" in accelerating the shift towards more sustainable consumption and production, each of the Marrakech Task Forces was chaired by a developed country.</v>
      </c>
      <c r="C60" s="7"/>
      <c r="D60" s="49" t="b">
        <f t="shared" ref="D60:H60" si="124">VLOOKUP($A60, INDIRECT(D$1&amp;"!A:C"), 3, FALSE)</f>
        <v>1</v>
      </c>
      <c r="E60" s="49" t="b">
        <f t="shared" si="124"/>
        <v>1</v>
      </c>
      <c r="F60" s="49" t="str">
        <f t="shared" si="124"/>
        <v>TO DO</v>
      </c>
      <c r="G60" s="49" t="str">
        <f t="shared" si="124"/>
        <v>TO DO</v>
      </c>
      <c r="H60" s="49" t="b">
        <f t="shared" si="124"/>
        <v>1</v>
      </c>
      <c r="I60" s="50">
        <f t="shared" si="4"/>
        <v>1</v>
      </c>
      <c r="J60" s="51" t="str">
        <f t="shared" ref="J60:N60" si="125">VLOOKUP($A60, INDIRECT(J$1&amp;"!A:D"), 4, FALSE)</f>
        <v/>
      </c>
      <c r="K60" s="51" t="str">
        <f t="shared" si="125"/>
        <v/>
      </c>
      <c r="L60" s="51" t="str">
        <f t="shared" si="125"/>
        <v/>
      </c>
      <c r="M60" s="51" t="str">
        <f t="shared" si="125"/>
        <v/>
      </c>
      <c r="N60" s="51" t="str">
        <f t="shared" si="125"/>
        <v/>
      </c>
      <c r="O60" s="50" t="str">
        <f>IFERROR(__xludf.DUMMYFUNCTION("IF(COUNTA(J60:N60)=0, """", ARRAYFORMULA(""- ""&amp;TEXTJOIN(char(10)&amp;""- "", TRUE, FILTER(J$1:N$1&amp;"": ""&amp;J60:N60, NOT(ISBLANK(J60:N60))))))"),"")</f>
        <v/>
      </c>
      <c r="P60" s="50" t="s">
        <v>432</v>
      </c>
      <c r="Q60" s="52" t="b">
        <f t="shared" si="109"/>
        <v>1</v>
      </c>
      <c r="R60" s="24">
        <f t="shared" si="7"/>
        <v>3</v>
      </c>
    </row>
    <row r="61">
      <c r="A61" s="12" t="str">
        <f>IFERROR(__xludf.DUMMYFUNCTION("""COMPUTED_VALUE"""),"5e9b3bcf4aac69ed3ef73cbca12ee72b")</f>
        <v>5e9b3bcf4aac69ed3ef73cbca12ee72b</v>
      </c>
      <c r="B61" s="12" t="str">
        <f>IFERROR(__xludf.DUMMYFUNCTION("""COMPUTED_VALUE"""),"For each of these topics different indicators have been developed and the indicator protocols include definitions and the way the data need to be compiled, as well as further references. To measure for example the CO2 emissions the indicator protocol refe"&amp;"rs to Green House Gas measurement protocol of the WBCSD/World Resource Institute. The information that is reported in a sustainability report according to the GRI guidelines does not only include quantitative indicators but also provides information on th"&amp;"e strategy, the organizational profile, the governance processes, the stakeholder engagement processes and the management approach. This information is relevant to obtain the context in which the data are provided. Each organization has a different ambiti"&amp;"on level and specific sustainability issues and therefore reporting is different for different organizations. The topics and indicators to report on are based on a materiality analysis that the company performs.")</f>
        <v>For each of these topics different indicators have been developed and the indicator protocols include definitions and the way the data need to be compiled, as well as further references. To measure for example the CO2 emissions the indicator protocol refers to Green House Gas measurement protocol of the WBCSD/World Resource Institute. The information that is reported in a sustainability report according to the GRI guidelines does not only include quantitative indicators but also provides information on the strategy, the organizational profile, the governance processes, the stakeholder engagement processes and the management approach. This information is relevant to obtain the context in which the data are provided. Each organization has a different ambition level and specific sustainability issues and therefore reporting is different for different organizations. The topics and indicators to report on are based on a materiality analysis that the company performs.</v>
      </c>
      <c r="C61" s="53"/>
      <c r="D61" s="49" t="b">
        <f t="shared" ref="D61:H61" si="126">VLOOKUP($A61, INDIRECT(D$1&amp;"!A:C"), 3, FALSE)</f>
        <v>1</v>
      </c>
      <c r="E61" s="49" t="str">
        <f t="shared" si="126"/>
        <v>TO DO</v>
      </c>
      <c r="F61" s="49" t="str">
        <f t="shared" si="126"/>
        <v>TO DO</v>
      </c>
      <c r="G61" s="49" t="b">
        <f t="shared" si="126"/>
        <v>1</v>
      </c>
      <c r="H61" s="49" t="b">
        <f t="shared" si="126"/>
        <v>1</v>
      </c>
      <c r="I61" s="50">
        <f t="shared" si="4"/>
        <v>1</v>
      </c>
      <c r="J61" s="51" t="str">
        <f t="shared" ref="J61:N61" si="127">VLOOKUP($A61, INDIRECT(J$1&amp;"!A:D"), 4, FALSE)</f>
        <v/>
      </c>
      <c r="K61" s="51" t="str">
        <f t="shared" si="127"/>
        <v/>
      </c>
      <c r="L61" s="51" t="str">
        <f t="shared" si="127"/>
        <v/>
      </c>
      <c r="M61" s="51" t="str">
        <f t="shared" si="127"/>
        <v/>
      </c>
      <c r="N61" s="51" t="str">
        <f t="shared" si="127"/>
        <v/>
      </c>
      <c r="O61" s="50" t="str">
        <f>IFERROR(__xludf.DUMMYFUNCTION("IF(COUNTA(J61:N61)=0, """", ARRAYFORMULA(""- ""&amp;TEXTJOIN(char(10)&amp;""- "", TRUE, FILTER(J$1:N$1&amp;"": ""&amp;J61:N61, NOT(ISBLANK(J61:N61))))))"),"")</f>
        <v/>
      </c>
      <c r="P61" s="50" t="s">
        <v>432</v>
      </c>
      <c r="Q61" s="52" t="b">
        <f t="shared" si="109"/>
        <v>1</v>
      </c>
      <c r="R61" s="24">
        <f t="shared" si="7"/>
        <v>3</v>
      </c>
    </row>
    <row r="62" hidden="1">
      <c r="A62" s="12" t="str">
        <f>IFERROR(__xludf.DUMMYFUNCTION("""COMPUTED_VALUE"""),"a218ee95081ac58f5a8c35f0fb15c302")</f>
        <v>a218ee95081ac58f5a8c35f0fb15c302</v>
      </c>
      <c r="B62" s="12" t="str">
        <f>IFERROR(__xludf.DUMMYFUNCTION("""COMPUTED_VALUE"""),"The criteria for commitments are (1) advance one or more United Nations goal/issue, (2) include time-bound target(s) that can be measured for success, and (3) include an agreement to publicly disclose, on an annual basis, progress made to realize the comm"&amp;"itment, throughout its duration. In all these areas issues related to innovation and collaboration were discussed. Available from http://www .unglobalcompact.org/docs/news_events/2012_CSF/Rio_CSF_Overview_Outcomes.pdf.")</f>
        <v>The criteria for commitments are (1) advance one or more United Nations goal/issue, (2) include time-bound target(s) that can be measured for success, and (3) include an agreement to publicly disclose, on an annual basis, progress made to realize the commitment, throughout its duration. In all these areas issues related to innovation and collaboration were discussed. Available from http://www .unglobalcompact.org/docs/news_events/2012_CSF/Rio_CSF_Overview_Outcomes.pdf.</v>
      </c>
      <c r="C62" s="53"/>
      <c r="D62" s="49" t="b">
        <f t="shared" ref="D62:H62" si="128">VLOOKUP($A62, INDIRECT(D$1&amp;"!A:C"), 3, FALSE)</f>
        <v>1</v>
      </c>
      <c r="E62" s="49" t="str">
        <f t="shared" si="128"/>
        <v>TO DO</v>
      </c>
      <c r="F62" s="49" t="str">
        <f t="shared" si="128"/>
        <v>TO DO</v>
      </c>
      <c r="G62" s="49" t="str">
        <f t="shared" si="128"/>
        <v>TO DO</v>
      </c>
      <c r="H62" s="49" t="b">
        <f t="shared" si="128"/>
        <v>0</v>
      </c>
      <c r="I62" s="50">
        <f t="shared" si="4"/>
        <v>0</v>
      </c>
      <c r="J62" s="51" t="str">
        <f t="shared" ref="J62:N62" si="129">VLOOKUP($A62, INDIRECT(J$1&amp;"!A:D"), 4, FALSE)</f>
        <v>link to global compact</v>
      </c>
      <c r="K62" s="51" t="str">
        <f t="shared" si="129"/>
        <v/>
      </c>
      <c r="L62" s="51" t="str">
        <f t="shared" si="129"/>
        <v/>
      </c>
      <c r="M62" s="51" t="str">
        <f t="shared" si="129"/>
        <v/>
      </c>
      <c r="N62" s="51" t="str">
        <f t="shared" si="129"/>
        <v/>
      </c>
      <c r="O62" s="50" t="str">
        <f>IFERROR(__xludf.DUMMYFUNCTION("IF(COUNTA(J62:N62)=0, """", ARRAYFORMULA(""- ""&amp;TEXTJOIN(char(10)&amp;""- "", TRUE, FILTER(J$1:N$1&amp;"": ""&amp;J62:N62, NOT(ISBLANK(J62:N62))))))"),"- Finn: link to global compact")</f>
        <v>- Finn: link to global compact</v>
      </c>
      <c r="P62" s="50" t="s">
        <v>462</v>
      </c>
      <c r="Q62" s="52" t="str">
        <f t="shared" si="109"/>
        <v>UNDECIDED</v>
      </c>
      <c r="R62" s="24">
        <f t="shared" si="7"/>
        <v>2</v>
      </c>
    </row>
    <row r="63">
      <c r="A63" s="12" t="str">
        <f>IFERROR(__xludf.DUMMYFUNCTION("""COMPUTED_VALUE"""),"a287d825bd346605da1b8e5017d13524")</f>
        <v>a287d825bd346605da1b8e5017d13524</v>
      </c>
      <c r="B63" s="12" t="str">
        <f>IFERROR(__xludf.DUMMYFUNCTION("""COMPUTED_VALUE"""),"The initiative engaging the manufacturer, Grameen Bank, National Building Research Organization and vulnerable families encourages the use of local sustainable building materials, quality durable construction and livelihood considerations such as includin"&amp;"g shop fronts in the houses. The initiative required a high degree of informal collaborative learning and training. Learning occurs at both the level of the community, as well as within the company, where lessons of Mexican success are explored to be tran"&amp;"slated across other regions.")</f>
        <v>The initiative engaging the manufacturer, Grameen Bank, National Building Research Organization and vulnerable families encourages the use of local sustainable building materials, quality durable construction and livelihood considerations such as including shop fronts in the houses. The initiative required a high degree of informal collaborative learning and training. Learning occurs at both the level of the community, as well as within the company, where lessons of Mexican success are explored to be translated across other regions.</v>
      </c>
      <c r="C63" s="53"/>
      <c r="D63" s="49" t="b">
        <f t="shared" ref="D63:H63" si="130">VLOOKUP($A63, INDIRECT(D$1&amp;"!A:C"), 3, FALSE)</f>
        <v>1</v>
      </c>
      <c r="E63" s="49" t="b">
        <f t="shared" si="130"/>
        <v>1</v>
      </c>
      <c r="F63" s="49" t="str">
        <f t="shared" si="130"/>
        <v>TO DO</v>
      </c>
      <c r="G63" s="49" t="str">
        <f t="shared" si="130"/>
        <v>TO DO</v>
      </c>
      <c r="H63" s="49" t="b">
        <f t="shared" si="130"/>
        <v>1</v>
      </c>
      <c r="I63" s="50">
        <f t="shared" si="4"/>
        <v>1</v>
      </c>
      <c r="J63" s="51" t="str">
        <f t="shared" ref="J63:N63" si="131">VLOOKUP($A63, INDIRECT(J$1&amp;"!A:D"), 4, FALSE)</f>
        <v/>
      </c>
      <c r="K63" s="51" t="str">
        <f t="shared" si="131"/>
        <v/>
      </c>
      <c r="L63" s="51" t="str">
        <f t="shared" si="131"/>
        <v/>
      </c>
      <c r="M63" s="51" t="str">
        <f t="shared" si="131"/>
        <v/>
      </c>
      <c r="N63" s="51" t="str">
        <f t="shared" si="131"/>
        <v/>
      </c>
      <c r="O63" s="50" t="str">
        <f>IFERROR(__xludf.DUMMYFUNCTION("IF(COUNTA(J63:N63)=0, """", ARRAYFORMULA(""- ""&amp;TEXTJOIN(char(10)&amp;""- "", TRUE, FILTER(J$1:N$1&amp;"": ""&amp;J63:N63, NOT(ISBLANK(J63:N63))))))"),"")</f>
        <v/>
      </c>
      <c r="P63" s="50" t="s">
        <v>432</v>
      </c>
      <c r="Q63" s="52" t="b">
        <f t="shared" si="109"/>
        <v>1</v>
      </c>
      <c r="R63" s="24">
        <f t="shared" si="7"/>
        <v>3</v>
      </c>
    </row>
    <row r="64">
      <c r="A64" s="12" t="str">
        <f>IFERROR(__xludf.DUMMYFUNCTION("""COMPUTED_VALUE"""),"a5de8ccef9a812d9b5c7cb312fee108f")</f>
        <v>a5de8ccef9a812d9b5c7cb312fee108f</v>
      </c>
      <c r="B64" s="12" t="str">
        <f>IFERROR(__xludf.DUMMYFUNCTION("""COMPUTED_VALUE"""),"Part b) on measures taken before a product has become waste, that reduce the adverse impacts of the eventually generated waste on the environment and health also has some importance. Here though the focus should be on initiatives which reduce upstream env"&amp;"ironmental impacts caused by food waste rather than downstream impacts. This can be done for example through initiatives which reduce the share of products in food waste which cause a particularly high environmental impact during their production phase. M"&amp;"eat and dairy products are a prime example. The more edible food waste that is avoided in an economy, the less food production that is required to feed the population, with an accompanying reduction in environmental impacts caused during food production.")</f>
        <v>Part b) on measures taken before a product has become waste, that reduce the adverse impacts of the eventually generated waste on the environment and health also has some importance. Here though the focus should be on initiatives which reduce upstream environmental impacts caused by food waste rather than downstream impacts. This can be done for example through initiatives which reduce the share of products in food waste which cause a particularly high environmental impact during their production phase. Meat and dairy products are a prime example. The more edible food waste that is avoided in an economy, the less food production that is required to feed the population, with an accompanying reduction in environmental impacts caused during food production.</v>
      </c>
      <c r="C64" s="49"/>
      <c r="D64" s="49" t="b">
        <f t="shared" ref="D64:H64" si="132">VLOOKUP($A64, INDIRECT(D$1&amp;"!A:C"), 3, FALSE)</f>
        <v>1</v>
      </c>
      <c r="E64" s="49" t="b">
        <f t="shared" si="132"/>
        <v>1</v>
      </c>
      <c r="F64" s="49" t="str">
        <f t="shared" si="132"/>
        <v>TO DO</v>
      </c>
      <c r="G64" s="49" t="b">
        <f t="shared" si="132"/>
        <v>1</v>
      </c>
      <c r="H64" s="49" t="b">
        <f t="shared" si="132"/>
        <v>1</v>
      </c>
      <c r="I64" s="50">
        <f t="shared" si="4"/>
        <v>1</v>
      </c>
      <c r="J64" s="51" t="str">
        <f t="shared" ref="J64:N64" si="133">VLOOKUP($A64, INDIRECT(J$1&amp;"!A:D"), 4, FALSE)</f>
        <v/>
      </c>
      <c r="K64" s="51" t="str">
        <f t="shared" si="133"/>
        <v/>
      </c>
      <c r="L64" s="51" t="str">
        <f t="shared" si="133"/>
        <v/>
      </c>
      <c r="M64" s="51" t="str">
        <f t="shared" si="133"/>
        <v/>
      </c>
      <c r="N64" s="51" t="str">
        <f t="shared" si="133"/>
        <v/>
      </c>
      <c r="O64" s="50" t="str">
        <f>IFERROR(__xludf.DUMMYFUNCTION("IF(COUNTA(J64:N64)=0, """", ARRAYFORMULA(""- ""&amp;TEXTJOIN(char(10)&amp;""- "", TRUE, FILTER(J$1:N$1&amp;"": ""&amp;J64:N64, NOT(ISBLANK(J64:N64))))))"),"")</f>
        <v/>
      </c>
      <c r="P64" s="50" t="s">
        <v>432</v>
      </c>
      <c r="Q64" s="52" t="b">
        <f t="shared" si="109"/>
        <v>1</v>
      </c>
      <c r="R64" s="24">
        <f t="shared" si="7"/>
        <v>4</v>
      </c>
    </row>
    <row r="65">
      <c r="A65" s="12" t="str">
        <f>IFERROR(__xludf.DUMMYFUNCTION("""COMPUTED_VALUE"""),"a941f19e7545ea877b4b9510f0be6a63")</f>
        <v>a941f19e7545ea877b4b9510f0be6a63</v>
      </c>
      <c r="B65" s="12" t="str">
        <f>IFERROR(__xludf.DUMMYFUNCTION("""COMPUTED_VALUE"""),"In 2014, the System was extended to include a dedicated web portal. This cadastre provides public access to the processes of issuing and reissuing of licences, licence revocation, transfer, pledge and surrender for the entire or a part of the licensed are"&amp;"a, as well as to maintaining a register of licences. One of the main objectives of this tool is to prevent licences from overlapping other licences or protected areas.")</f>
        <v>In 2014, the System was extended to include a dedicated web portal. This cadastre provides public access to the processes of issuing and reissuing of licences, licence revocation, transfer, pledge and surrender for the entire or a part of the licensed area, as well as to maintaining a register of licences. One of the main objectives of this tool is to prevent licences from overlapping other licences or protected areas.</v>
      </c>
      <c r="C65" s="7"/>
      <c r="D65" s="49" t="b">
        <f t="shared" ref="D65:H65" si="134">VLOOKUP($A65, INDIRECT(D$1&amp;"!A:C"), 3, FALSE)</f>
        <v>0</v>
      </c>
      <c r="E65" s="49" t="str">
        <f t="shared" si="134"/>
        <v>TO DO</v>
      </c>
      <c r="F65" s="49" t="str">
        <f t="shared" si="134"/>
        <v>TO DO</v>
      </c>
      <c r="G65" s="49" t="b">
        <f t="shared" si="134"/>
        <v>0</v>
      </c>
      <c r="H65" s="49" t="b">
        <f t="shared" si="134"/>
        <v>0</v>
      </c>
      <c r="I65" s="50">
        <f t="shared" si="4"/>
        <v>1</v>
      </c>
      <c r="J65" s="51" t="str">
        <f t="shared" ref="J65:N65" si="135">VLOOKUP($A65, INDIRECT(J$1&amp;"!A:D"), 4, FALSE)</f>
        <v/>
      </c>
      <c r="K65" s="51" t="str">
        <f t="shared" si="135"/>
        <v/>
      </c>
      <c r="L65" s="51" t="str">
        <f t="shared" si="135"/>
        <v/>
      </c>
      <c r="M65" s="51" t="str">
        <f t="shared" si="135"/>
        <v/>
      </c>
      <c r="N65" s="51" t="str">
        <f t="shared" si="135"/>
        <v>not clear what licenses</v>
      </c>
      <c r="O65" s="50" t="str">
        <f>IFERROR(__xludf.DUMMYFUNCTION("IF(COUNTA(J65:N65)=0, """", ARRAYFORMULA(""- ""&amp;TEXTJOIN(char(10)&amp;""- "", TRUE, FILTER(J$1:N$1&amp;"": ""&amp;J65:N65, NOT(ISBLANK(J65:N65))))))"),"- Steve: not clear what licenses")</f>
        <v>- Steve: not clear what licenses</v>
      </c>
      <c r="P65" s="50" t="s">
        <v>463</v>
      </c>
      <c r="Q65" s="52" t="b">
        <f t="shared" si="109"/>
        <v>0</v>
      </c>
      <c r="R65" s="24">
        <f t="shared" si="7"/>
        <v>3</v>
      </c>
    </row>
    <row r="66" hidden="1">
      <c r="A66" s="12" t="str">
        <f>IFERROR(__xludf.DUMMYFUNCTION("""COMPUTED_VALUE"""),"ad30b568778b199cdbabb1a10d691944")</f>
        <v>ad30b568778b199cdbabb1a10d691944</v>
      </c>
      <c r="B66" s="12" t="str">
        <f>IFERROR(__xludf.DUMMYFUNCTION("""COMPUTED_VALUE"""),"It is often difficult to see from the statistics if this waste is included. Due to new EU - regulations this system no longer exists (withdrawn in 2003). The newest data is therefore from 2001 when it was collected 21,000 tons of food waste. The system of"&amp;" separate collection of food waste included commercial kitchens that generated more than 100 kg / week. Smaller kitchens and kitchens in cost sector were not covered by the collection scheme.")</f>
        <v>It is often difficult to see from the statistics if this waste is included. Due to new EU - regulations this system no longer exists (withdrawn in 2003). The newest data is therefore from 2001 when it was collected 21,000 tons of food waste. The system of separate collection of food waste included commercial kitchens that generated more than 100 kg / week. Smaller kitchens and kitchens in cost sector were not covered by the collection scheme.</v>
      </c>
      <c r="C66" s="54"/>
      <c r="D66" s="49" t="b">
        <f t="shared" ref="D66:H66" si="136">VLOOKUP($A66, INDIRECT(D$1&amp;"!A:C"), 3, FALSE)</f>
        <v>1</v>
      </c>
      <c r="E66" s="49" t="str">
        <f t="shared" si="136"/>
        <v>TO DO</v>
      </c>
      <c r="F66" s="49" t="str">
        <f t="shared" si="136"/>
        <v>TO DO</v>
      </c>
      <c r="G66" s="49" t="str">
        <f t="shared" si="136"/>
        <v>TO DO</v>
      </c>
      <c r="H66" s="49" t="b">
        <f t="shared" si="136"/>
        <v>0</v>
      </c>
      <c r="I66" s="50">
        <f t="shared" si="4"/>
        <v>0</v>
      </c>
      <c r="J66" s="51" t="str">
        <f t="shared" ref="J66:N66" si="137">VLOOKUP($A66, INDIRECT(J$1&amp;"!A:D"), 4, FALSE)</f>
        <v/>
      </c>
      <c r="K66" s="51" t="str">
        <f t="shared" si="137"/>
        <v/>
      </c>
      <c r="L66" s="51" t="str">
        <f t="shared" si="137"/>
        <v/>
      </c>
      <c r="M66" s="51" t="str">
        <f t="shared" si="137"/>
        <v/>
      </c>
      <c r="N66" s="51" t="str">
        <f t="shared" si="137"/>
        <v>data reporting only</v>
      </c>
      <c r="O66" s="50" t="str">
        <f>IFERROR(__xludf.DUMMYFUNCTION("IF(COUNTA(J66:N66)=0, """", ARRAYFORMULA(""- ""&amp;TEXTJOIN(char(10)&amp;""- "", TRUE, FILTER(J$1:N$1&amp;"": ""&amp;J66:N66, NOT(ISBLANK(J66:N66))))))"),"- Steve: data reporting only")</f>
        <v>- Steve: data reporting only</v>
      </c>
      <c r="P66" s="50" t="s">
        <v>464</v>
      </c>
      <c r="Q66" s="52" t="str">
        <f t="shared" si="109"/>
        <v>UNDECIDED</v>
      </c>
      <c r="R66" s="24">
        <f t="shared" si="7"/>
        <v>2</v>
      </c>
    </row>
    <row r="67">
      <c r="A67" s="12" t="str">
        <f>IFERROR(__xludf.DUMMYFUNCTION("""COMPUTED_VALUE"""),"ee172df5f44bbedc59dd865962f75452")</f>
        <v>ee172df5f44bbedc59dd865962f75452</v>
      </c>
      <c r="B67" s="12" t="str">
        <f>IFERROR(__xludf.DUMMYFUNCTION("""COMPUTED_VALUE"""),"These inequalities were exacerbated by the structural adjustment programmes of the 1980s, the liberalisation of the economy in the 1990s, and the rapid growth of financial services after the liberalisation of financial markets in 1991. On the advice of th"&amp;"e international financial institutions, governments have opted to offer targeted assistance to poor households rather than generalised subsidies on basic goods (e.g. staple foods) and services (e.g. water and electricity). Towards this end, the government"&amp;" has tracked the incidence and prevalence of poverty, and conducted poverty mapping to be able to identify the vulnerable households.")</f>
        <v>These inequalities were exacerbated by the structural adjustment programmes of the 1980s, the liberalisation of the economy in the 1990s, and the rapid growth of financial services after the liberalisation of financial markets in 1991. On the advice of the international financial institutions, governments have opted to offer targeted assistance to poor households rather than generalised subsidies on basic goods (e.g. staple foods) and services (e.g. water and electricity). Towards this end, the government has tracked the incidence and prevalence of poverty, and conducted poverty mapping to be able to identify the vulnerable households.</v>
      </c>
      <c r="C67" s="53"/>
      <c r="D67" s="49" t="b">
        <f t="shared" ref="D67:H67" si="138">VLOOKUP($A67, INDIRECT(D$1&amp;"!A:C"), 3, FALSE)</f>
        <v>0</v>
      </c>
      <c r="E67" s="49" t="b">
        <f t="shared" si="138"/>
        <v>0</v>
      </c>
      <c r="F67" s="49" t="str">
        <f t="shared" si="138"/>
        <v>TO DO</v>
      </c>
      <c r="G67" s="49" t="str">
        <f t="shared" si="138"/>
        <v>TO DO</v>
      </c>
      <c r="H67" s="49" t="b">
        <f t="shared" si="138"/>
        <v>0</v>
      </c>
      <c r="I67" s="50">
        <f t="shared" si="4"/>
        <v>1</v>
      </c>
      <c r="J67" s="51" t="str">
        <f t="shared" ref="J67:N67" si="139">VLOOKUP($A67, INDIRECT(J$1&amp;"!A:D"), 4, FALSE)</f>
        <v/>
      </c>
      <c r="K67" s="51" t="str">
        <f t="shared" si="139"/>
        <v/>
      </c>
      <c r="L67" s="51" t="str">
        <f t="shared" si="139"/>
        <v/>
      </c>
      <c r="M67" s="51" t="str">
        <f t="shared" si="139"/>
        <v/>
      </c>
      <c r="N67" s="51" t="str">
        <f t="shared" si="139"/>
        <v/>
      </c>
      <c r="O67" s="50" t="str">
        <f>IFERROR(__xludf.DUMMYFUNCTION("IF(COUNTA(J67:N67)=0, """", ARRAYFORMULA(""- ""&amp;TEXTJOIN(char(10)&amp;""- "", TRUE, FILTER(J$1:N$1&amp;"": ""&amp;J67:N67, NOT(ISBLANK(J67:N67))))))"),"")</f>
        <v/>
      </c>
      <c r="P67" s="50" t="s">
        <v>432</v>
      </c>
      <c r="Q67" s="52" t="b">
        <f t="shared" si="109"/>
        <v>0</v>
      </c>
      <c r="R67" s="24">
        <f t="shared" si="7"/>
        <v>3</v>
      </c>
    </row>
    <row r="68">
      <c r="A68" s="12" t="str">
        <f>IFERROR(__xludf.DUMMYFUNCTION("""COMPUTED_VALUE"""),"17a9f0d1e3733dac32f98dd1b6ee7ae0")</f>
        <v>17a9f0d1e3733dac32f98dd1b6ee7ae0</v>
      </c>
      <c r="B68" s="12" t="str">
        <f>IFERROR(__xludf.DUMMYFUNCTION("""COMPUTED_VALUE"""),"Owing to success of the first phase, UNU and Shimadzu agreed to continue the project, establishing the second phase in 1999. In continuation of the previous project, the same research group in each country was kept as partner and national implementation u"&amp;"nit. The Philippines joined the project at the beginning of the second phase. The three components were closely linked together and implemented through collaboration of the UNU network on coastal issues.")</f>
        <v>Owing to success of the first phase, UNU and Shimadzu agreed to continue the project, establishing the second phase in 1999. In continuation of the previous project, the same research group in each country was kept as partner and national implementation unit. The Philippines joined the project at the beginning of the second phase. The three components were closely linked together and implemented through collaboration of the UNU network on coastal issues.</v>
      </c>
      <c r="C68" s="7"/>
      <c r="D68" s="49" t="b">
        <f t="shared" ref="D68:H68" si="140">VLOOKUP($A68, INDIRECT(D$1&amp;"!A:C"), 3, FALSE)</f>
        <v>0</v>
      </c>
      <c r="E68" s="49" t="str">
        <f t="shared" si="140"/>
        <v>TO DO</v>
      </c>
      <c r="F68" s="49" t="str">
        <f t="shared" si="140"/>
        <v>TO DO</v>
      </c>
      <c r="G68" s="49" t="b">
        <f t="shared" si="140"/>
        <v>0</v>
      </c>
      <c r="H68" s="49" t="b">
        <f t="shared" si="140"/>
        <v>0</v>
      </c>
      <c r="I68" s="50">
        <f t="shared" si="4"/>
        <v>1</v>
      </c>
      <c r="J68" s="51" t="str">
        <f t="shared" ref="J68:N68" si="141">VLOOKUP($A68, INDIRECT(J$1&amp;"!A:D"), 4, FALSE)</f>
        <v/>
      </c>
      <c r="K68" s="51" t="str">
        <f t="shared" si="141"/>
        <v/>
      </c>
      <c r="L68" s="51" t="str">
        <f t="shared" si="141"/>
        <v/>
      </c>
      <c r="M68" s="51" t="str">
        <f t="shared" si="141"/>
        <v/>
      </c>
      <c r="N68" s="51" t="str">
        <f t="shared" si="141"/>
        <v>not clear what project is about</v>
      </c>
      <c r="O68" s="50" t="str">
        <f>IFERROR(__xludf.DUMMYFUNCTION("IF(COUNTA(J68:N68)=0, """", ARRAYFORMULA(""- ""&amp;TEXTJOIN(char(10)&amp;""- "", TRUE, FILTER(J$1:N$1&amp;"": ""&amp;J68:N68, NOT(ISBLANK(J68:N68))))))"),"- Steve: not clear what project is about")</f>
        <v>- Steve: not clear what project is about</v>
      </c>
      <c r="P68" s="50" t="s">
        <v>465</v>
      </c>
      <c r="Q68" s="52" t="b">
        <f t="shared" si="109"/>
        <v>0</v>
      </c>
      <c r="R68" s="24">
        <f t="shared" si="7"/>
        <v>3</v>
      </c>
    </row>
    <row r="69">
      <c r="A69" s="12" t="str">
        <f>IFERROR(__xludf.DUMMYFUNCTION("""COMPUTED_VALUE"""),"4da053336ea3efd2695efd580c54584b")</f>
        <v>4da053336ea3efd2695efd580c54584b</v>
      </c>
      <c r="B69" s="12" t="str">
        <f>IFERROR(__xludf.DUMMYFUNCTION("""COMPUTED_VALUE"""),"It contributes 8.4 per cent to global employment (238 million jobs)1 and is projected to grow at an average of 4 per cent over the next decade. Rising per capita incomes and the operation of competitive low-cost airlines have also contributed to this incr"&amp;"ease. China is particularly significant as it alone is expected to contribute 100 million travellers.4 All indications are that in spite of a downturn in the global economy beginning in 2008 due to the global financial crisis, the travel and tourism indus"&amp;"try is robust enough to withstand these pressures over the next decade. Depending upon the sophistication of the industry in terms of the solidity of its linkages and supply chains, some destinations are likely to recover more quickly than others.")</f>
        <v>It contributes 8.4 per cent to global employment (238 million jobs)1 and is projected to grow at an average of 4 per cent over the next decade. Rising per capita incomes and the operation of competitive low-cost airlines have also contributed to this increase. China is particularly significant as it alone is expected to contribute 100 million travellers.4 All indications are that in spite of a downturn in the global economy beginning in 2008 due to the global financial crisis, the travel and tourism industry is robust enough to withstand these pressures over the next decade. Depending upon the sophistication of the industry in terms of the solidity of its linkages and supply chains, some destinations are likely to recover more quickly than others.</v>
      </c>
      <c r="C69" s="54"/>
      <c r="D69" s="49" t="b">
        <f t="shared" ref="D69:H69" si="142">VLOOKUP($A69, INDIRECT(D$1&amp;"!A:C"), 3, FALSE)</f>
        <v>0</v>
      </c>
      <c r="E69" s="49" t="str">
        <f t="shared" si="142"/>
        <v>TO DO</v>
      </c>
      <c r="F69" s="49" t="str">
        <f t="shared" si="142"/>
        <v>TO DO</v>
      </c>
      <c r="G69" s="49" t="b">
        <f t="shared" si="142"/>
        <v>0</v>
      </c>
      <c r="H69" s="49" t="b">
        <f t="shared" si="142"/>
        <v>0</v>
      </c>
      <c r="I69" s="50">
        <f t="shared" si="4"/>
        <v>1</v>
      </c>
      <c r="J69" s="51" t="str">
        <f t="shared" ref="J69:N69" si="143">VLOOKUP($A69, INDIRECT(J$1&amp;"!A:D"), 4, FALSE)</f>
        <v/>
      </c>
      <c r="K69" s="51" t="str">
        <f t="shared" si="143"/>
        <v/>
      </c>
      <c r="L69" s="51" t="str">
        <f t="shared" si="143"/>
        <v/>
      </c>
      <c r="M69" s="51" t="str">
        <f t="shared" si="143"/>
        <v/>
      </c>
      <c r="N69" s="51" t="str">
        <f t="shared" si="143"/>
        <v/>
      </c>
      <c r="O69" s="50" t="str">
        <f>IFERROR(__xludf.DUMMYFUNCTION("IF(COUNTA(J69:N69)=0, """", ARRAYFORMULA(""- ""&amp;TEXTJOIN(char(10)&amp;""- "", TRUE, FILTER(J$1:N$1&amp;"": ""&amp;J69:N69, NOT(ISBLANK(J69:N69))))))"),"")</f>
        <v/>
      </c>
      <c r="P69" s="50" t="s">
        <v>432</v>
      </c>
      <c r="Q69" s="52" t="b">
        <f t="shared" si="109"/>
        <v>0</v>
      </c>
      <c r="R69" s="24">
        <f t="shared" si="7"/>
        <v>3</v>
      </c>
    </row>
    <row r="70">
      <c r="A70" s="12" t="str">
        <f>IFERROR(__xludf.DUMMYFUNCTION("""COMPUTED_VALUE"""),"54b2538e906a8d503d9a71159d1d36ca")</f>
        <v>54b2538e906a8d503d9a71159d1d36ca</v>
      </c>
      <c r="B70" s="12" t="str">
        <f>IFERROR(__xludf.DUMMYFUNCTION("""COMPUTED_VALUE"""),"It also prepares technical documentation related to chemical safety that can be downloaded from its website. The documentation includes government manuals, SDS and information on the GHS and other UN initiatives. There are ten ARLs - effectively insurance"&amp;" companies that cover workplace injuries and illnesses, each with a different focus.")</f>
        <v>It also prepares technical documentation related to chemical safety that can be downloaded from its website. The documentation includes government manuals, SDS and information on the GHS and other UN initiatives. There are ten ARLs - effectively insurance companies that cover workplace injuries and illnesses, each with a different focus.</v>
      </c>
      <c r="C70" s="7" t="s">
        <v>439</v>
      </c>
      <c r="D70" s="49" t="b">
        <f t="shared" ref="D70:H70" si="144">VLOOKUP($A70, INDIRECT(D$1&amp;"!A:C"), 3, FALSE)</f>
        <v>1</v>
      </c>
      <c r="E70" s="49" t="str">
        <f t="shared" si="144"/>
        <v>TO DO</v>
      </c>
      <c r="F70" s="49" t="str">
        <f t="shared" si="144"/>
        <v>TO DO</v>
      </c>
      <c r="G70" s="49" t="b">
        <f t="shared" si="144"/>
        <v>0</v>
      </c>
      <c r="H70" s="49" t="b">
        <f t="shared" si="144"/>
        <v>1</v>
      </c>
      <c r="I70" s="50">
        <f t="shared" si="4"/>
        <v>0.3333333333</v>
      </c>
      <c r="J70" s="51" t="str">
        <f t="shared" ref="J70:N70" si="145">VLOOKUP($A70, INDIRECT(J$1&amp;"!A:D"), 4, FALSE)</f>
        <v/>
      </c>
      <c r="K70" s="51" t="str">
        <f t="shared" si="145"/>
        <v/>
      </c>
      <c r="L70" s="51" t="str">
        <f t="shared" si="145"/>
        <v/>
      </c>
      <c r="M70" s="51" t="str">
        <f t="shared" si="145"/>
        <v/>
      </c>
      <c r="N70" s="51" t="str">
        <f t="shared" si="145"/>
        <v/>
      </c>
      <c r="O70" s="50" t="str">
        <f>IFERROR(__xludf.DUMMYFUNCTION("IF(COUNTA(J70:N70)=0, """", ARRAYFORMULA(""- ""&amp;TEXTJOIN(char(10)&amp;""- "", TRUE, FILTER(J$1:N$1&amp;"": ""&amp;J70:N70, NOT(ISBLANK(J70:N70))))))"),"")</f>
        <v/>
      </c>
      <c r="P70" s="50" t="s">
        <v>432</v>
      </c>
      <c r="Q70" s="52" t="b">
        <v>1</v>
      </c>
      <c r="R70" s="24">
        <f t="shared" si="7"/>
        <v>3</v>
      </c>
      <c r="S70" s="5" t="s">
        <v>466</v>
      </c>
    </row>
    <row r="71">
      <c r="A71" s="12" t="str">
        <f>IFERROR(__xludf.DUMMYFUNCTION("""COMPUTED_VALUE"""),"57946c8dba1a1a85b2078da67f09fea7")</f>
        <v>57946c8dba1a1a85b2078da67f09fea7</v>
      </c>
      <c r="B71" s="12" t="str">
        <f>IFERROR(__xludf.DUMMYFUNCTION("""COMPUTED_VALUE"""),"Refrain from seeking or accepting exemptions not contemplated in the statutory or regulatory framework related to human rights, environmental, health, safety, labour, taxation, financial incentives, or other issues. Support and uphold good corporate gover"&amp;"nance principles and develop and apply good corporate governance practices, including throughout enterprise groups. Develop and apply effective self-regulatory practices and management systems that foster a relationship of confidence and mutual trust betw"&amp;"een enterprises and the societies in which they operate.")</f>
        <v>Refrain from seeking or accepting exemptions not contemplated in the statutory or regulatory framework related to human rights, environmental, health, safety, labour, taxation, financial incentives, or other issues. Support and uphold good corporate governance principles and develop and apply good corporate governance practices, including throughout enterprise groups. Develop and apply effective self-regulatory practices and management systems that foster a relationship of confidence and mutual trust between enterprises and the societies in which they operate.</v>
      </c>
      <c r="C71" s="53"/>
      <c r="D71" s="49" t="b">
        <f t="shared" ref="D71:H71" si="146">VLOOKUP($A71, INDIRECT(D$1&amp;"!A:C"), 3, FALSE)</f>
        <v>0</v>
      </c>
      <c r="E71" s="49" t="str">
        <f t="shared" si="146"/>
        <v>TO DO</v>
      </c>
      <c r="F71" s="49" t="str">
        <f t="shared" si="146"/>
        <v>TO DO</v>
      </c>
      <c r="G71" s="49" t="b">
        <f t="shared" si="146"/>
        <v>0</v>
      </c>
      <c r="H71" s="49" t="b">
        <f t="shared" si="146"/>
        <v>0</v>
      </c>
      <c r="I71" s="50">
        <f t="shared" si="4"/>
        <v>1</v>
      </c>
      <c r="J71" s="51" t="str">
        <f t="shared" ref="J71:N71" si="147">VLOOKUP($A71, INDIRECT(J$1&amp;"!A:D"), 4, FALSE)</f>
        <v/>
      </c>
      <c r="K71" s="51" t="str">
        <f t="shared" si="147"/>
        <v/>
      </c>
      <c r="L71" s="51" t="str">
        <f t="shared" si="147"/>
        <v/>
      </c>
      <c r="M71" s="51" t="str">
        <f t="shared" si="147"/>
        <v/>
      </c>
      <c r="N71" s="51" t="str">
        <f t="shared" si="147"/>
        <v>mentions environmental health only marginally and not really a clear link to SCP</v>
      </c>
      <c r="O71" s="50" t="str">
        <f>IFERROR(__xludf.DUMMYFUNCTION("IF(COUNTA(J71:N71)=0, """", ARRAYFORMULA(""- ""&amp;TEXTJOIN(char(10)&amp;""- "", TRUE, FILTER(J$1:N$1&amp;"": ""&amp;J71:N71, NOT(ISBLANK(J71:N71))))))"),"- Steve: mentions environmental health only marginally and not really a clear link to SCP")</f>
        <v>- Steve: mentions environmental health only marginally and not really a clear link to SCP</v>
      </c>
      <c r="P71" s="50" t="s">
        <v>467</v>
      </c>
      <c r="Q71" s="52" t="b">
        <f t="shared" ref="Q71:Q93" si="150">IF(I71=1, D71, "UNDECIDED")</f>
        <v>0</v>
      </c>
      <c r="R71" s="24">
        <f t="shared" si="7"/>
        <v>3</v>
      </c>
    </row>
    <row r="72">
      <c r="A72" s="12" t="str">
        <f>IFERROR(__xludf.DUMMYFUNCTION("""COMPUTED_VALUE"""),"c4fd5fb66459273c5dc10c4de4266f85")</f>
        <v>c4fd5fb66459273c5dc10c4de4266f85</v>
      </c>
      <c r="B72" s="12" t="str">
        <f>IFERROR(__xludf.DUMMYFUNCTION("""COMPUTED_VALUE"""),"Its mandate is to foster cooperation between its 53 members and 9 associate members. It supports Governments of the region in consolidating regional positions and advocates regional approaches to meeting the region's unique socio-economic challenges in a "&amp;"globalizing world. The ESCAP head office is located in Bangkok, Thailand, with subregional offices in Almaty, Kazakhstan, Incheon, Republic of Korea, New Delhi, India, and Suva, Fiji. Please visit our website at &lt;www.unescap.org&gt; for further information.")</f>
        <v>Its mandate is to foster cooperation between its 53 members and 9 associate members. It supports Governments of the region in consolidating regional positions and advocates regional approaches to meeting the region's unique socio-economic challenges in a globalizing world. The ESCAP head office is located in Bangkok, Thailand, with subregional offices in Almaty, Kazakhstan, Incheon, Republic of Korea, New Delhi, India, and Suva, Fiji. Please visit our website at &lt;www.unescap.org&gt; for further information.</v>
      </c>
      <c r="C72" s="54"/>
      <c r="D72" s="49" t="b">
        <f t="shared" ref="D72:H72" si="148">VLOOKUP($A72, INDIRECT(D$1&amp;"!A:C"), 3, FALSE)</f>
        <v>0</v>
      </c>
      <c r="E72" s="49" t="str">
        <f t="shared" si="148"/>
        <v>TO DO</v>
      </c>
      <c r="F72" s="49" t="str">
        <f t="shared" si="148"/>
        <v>TO DO</v>
      </c>
      <c r="G72" s="49" t="b">
        <f t="shared" si="148"/>
        <v>0</v>
      </c>
      <c r="H72" s="49" t="b">
        <f t="shared" si="148"/>
        <v>0</v>
      </c>
      <c r="I72" s="50">
        <f t="shared" si="4"/>
        <v>1</v>
      </c>
      <c r="J72" s="51" t="str">
        <f t="shared" ref="J72:N72" si="149">VLOOKUP($A72, INDIRECT(J$1&amp;"!A:D"), 4, FALSE)</f>
        <v/>
      </c>
      <c r="K72" s="51" t="str">
        <f t="shared" si="149"/>
        <v/>
      </c>
      <c r="L72" s="51" t="str">
        <f t="shared" si="149"/>
        <v/>
      </c>
      <c r="M72" s="51" t="str">
        <f t="shared" si="149"/>
        <v/>
      </c>
      <c r="N72" s="51" t="str">
        <f t="shared" si="149"/>
        <v/>
      </c>
      <c r="O72" s="50" t="str">
        <f>IFERROR(__xludf.DUMMYFUNCTION("IF(COUNTA(J72:N72)=0, """", ARRAYFORMULA(""- ""&amp;TEXTJOIN(char(10)&amp;""- "", TRUE, FILTER(J$1:N$1&amp;"": ""&amp;J72:N72, NOT(ISBLANK(J72:N72))))))"),"")</f>
        <v/>
      </c>
      <c r="P72" s="50" t="s">
        <v>432</v>
      </c>
      <c r="Q72" s="52" t="b">
        <f t="shared" si="150"/>
        <v>0</v>
      </c>
      <c r="R72" s="24">
        <f t="shared" si="7"/>
        <v>3</v>
      </c>
    </row>
    <row r="73">
      <c r="A73" s="12" t="str">
        <f>IFERROR(__xludf.DUMMYFUNCTION("""COMPUTED_VALUE"""),"c8dbfdb5972aba5f9f4da67a683fee62")</f>
        <v>c8dbfdb5972aba5f9f4da67a683fee62</v>
      </c>
      <c r="B73" s="12" t="str">
        <f>IFERROR(__xludf.DUMMYFUNCTION("""COMPUTED_VALUE"""),"The framework also functions as a bridging mechanism between the narrowly construed MEAs pertaining to chemicals and waste, which include the Stockholm, Rotterdam, Basel, and Minamata Conventions. The Dubai Declaration, which expresses high-level politica"&amp;"l support forthe framework. The Overarching Policy Strategy (OPS), which contains the five key thematic objectives of SAICM: (1) risk reduction, (2) knowledge and information, (3) governance, (4) capacity-building and technical cooperation, and (5) illega"&amp;"l international traffic in chemicals. The OPS also lays down the scope, needs, underlying principles, and approaches of SAICM and elaborates on implementation and progress review mechanisms. The Global Plan of Action, which is an evolving and practical to"&amp;"olkit for implementation that currently lists more than 270 activities that can be undertaken by diverse stakeholders to operationalize SAICM.")</f>
        <v>The framework also functions as a bridging mechanism between the narrowly construed MEAs pertaining to chemicals and waste, which include the Stockholm, Rotterdam, Basel, and Minamata Conventions. The Dubai Declaration, which expresses high-level political support forthe framework. The Overarching Policy Strategy (OPS), which contains the five key thematic objectives of SAICM: (1) risk reduction, (2) knowledge and information, (3) governance, (4) capacity-building and technical cooperation, and (5) illegal international traffic in chemicals. The OPS also lays down the scope, needs, underlying principles, and approaches of SAICM and elaborates on implementation and progress review mechanisms. The Global Plan of Action, which is an evolving and practical toolkit for implementation that currently lists more than 270 activities that can be undertaken by diverse stakeholders to operationalize SAICM.</v>
      </c>
      <c r="C73" s="53"/>
      <c r="D73" s="49" t="b">
        <f t="shared" ref="D73:H73" si="151">VLOOKUP($A73, INDIRECT(D$1&amp;"!A:C"), 3, FALSE)</f>
        <v>1</v>
      </c>
      <c r="E73" s="49" t="b">
        <f t="shared" si="151"/>
        <v>1</v>
      </c>
      <c r="F73" s="49" t="str">
        <f t="shared" si="151"/>
        <v>TO DO</v>
      </c>
      <c r="G73" s="49" t="str">
        <f t="shared" si="151"/>
        <v>TO DO</v>
      </c>
      <c r="H73" s="49" t="b">
        <f t="shared" si="151"/>
        <v>1</v>
      </c>
      <c r="I73" s="50">
        <f t="shared" si="4"/>
        <v>1</v>
      </c>
      <c r="J73" s="51" t="str">
        <f t="shared" ref="J73:N73" si="152">VLOOKUP($A73, INDIRECT(J$1&amp;"!A:D"), 4, FALSE)</f>
        <v/>
      </c>
      <c r="K73" s="51" t="str">
        <f t="shared" si="152"/>
        <v/>
      </c>
      <c r="L73" s="51" t="str">
        <f t="shared" si="152"/>
        <v/>
      </c>
      <c r="M73" s="51" t="str">
        <f t="shared" si="152"/>
        <v/>
      </c>
      <c r="N73" s="51" t="str">
        <f t="shared" si="152"/>
        <v/>
      </c>
      <c r="O73" s="50" t="str">
        <f>IFERROR(__xludf.DUMMYFUNCTION("IF(COUNTA(J73:N73)=0, """", ARRAYFORMULA(""- ""&amp;TEXTJOIN(char(10)&amp;""- "", TRUE, FILTER(J$1:N$1&amp;"": ""&amp;J73:N73, NOT(ISBLANK(J73:N73))))))"),"")</f>
        <v/>
      </c>
      <c r="P73" s="50" t="s">
        <v>432</v>
      </c>
      <c r="Q73" s="52" t="b">
        <f t="shared" si="150"/>
        <v>1</v>
      </c>
      <c r="R73" s="24">
        <f t="shared" si="7"/>
        <v>3</v>
      </c>
    </row>
    <row r="74">
      <c r="A74" s="12" t="str">
        <f>IFERROR(__xludf.DUMMYFUNCTION("""COMPUTED_VALUE"""),"d743d13d397544036f2266ae050c2dd8")</f>
        <v>d743d13d397544036f2266ae050c2dd8</v>
      </c>
      <c r="B74" s="12" t="str">
        <f>IFERROR(__xludf.DUMMYFUNCTION("""COMPUTED_VALUE"""),"According to the System of National Accounts, the principles underlying International Financial Reporting Standards are in most cases consistent with its principles, providing a comprehensive, consistent and flexible set of macroeconomic accounts.11 The S"&amp;"ystem of National Accounts states that there could be areas of difference between the two systems, however, cooperation would be useful with a view to showing a reconciliation between the two positions.")</f>
        <v>According to the System of National Accounts, the principles underlying International Financial Reporting Standards are in most cases consistent with its principles, providing a comprehensive, consistent and flexible set of macroeconomic accounts.11 The System of National Accounts states that there could be areas of difference between the two systems, however, cooperation would be useful with a view to showing a reconciliation between the two positions.</v>
      </c>
      <c r="C74" s="53"/>
      <c r="D74" s="49" t="b">
        <f t="shared" ref="D74:H74" si="153">VLOOKUP($A74, INDIRECT(D$1&amp;"!A:C"), 3, FALSE)</f>
        <v>0</v>
      </c>
      <c r="E74" s="49" t="str">
        <f t="shared" si="153"/>
        <v>TO DO</v>
      </c>
      <c r="F74" s="49" t="str">
        <f t="shared" si="153"/>
        <v>TO DO</v>
      </c>
      <c r="G74" s="49" t="b">
        <f t="shared" si="153"/>
        <v>0</v>
      </c>
      <c r="H74" s="49" t="b">
        <f t="shared" si="153"/>
        <v>0</v>
      </c>
      <c r="I74" s="50">
        <f t="shared" si="4"/>
        <v>1</v>
      </c>
      <c r="J74" s="51" t="str">
        <f t="shared" ref="J74:N74" si="154">VLOOKUP($A74, INDIRECT(J$1&amp;"!A:D"), 4, FALSE)</f>
        <v/>
      </c>
      <c r="K74" s="51" t="str">
        <f t="shared" si="154"/>
        <v/>
      </c>
      <c r="L74" s="51" t="str">
        <f t="shared" si="154"/>
        <v/>
      </c>
      <c r="M74" s="51" t="str">
        <f t="shared" si="154"/>
        <v/>
      </c>
      <c r="N74" s="51" t="str">
        <f t="shared" si="154"/>
        <v/>
      </c>
      <c r="O74" s="50" t="str">
        <f>IFERROR(__xludf.DUMMYFUNCTION("IF(COUNTA(J74:N74)=0, """", ARRAYFORMULA(""- ""&amp;TEXTJOIN(char(10)&amp;""- "", TRUE, FILTER(J$1:N$1&amp;"": ""&amp;J74:N74, NOT(ISBLANK(J74:N74))))))"),"")</f>
        <v/>
      </c>
      <c r="P74" s="50" t="s">
        <v>432</v>
      </c>
      <c r="Q74" s="52" t="b">
        <f t="shared" si="150"/>
        <v>0</v>
      </c>
      <c r="R74" s="24">
        <f t="shared" si="7"/>
        <v>3</v>
      </c>
    </row>
    <row r="75">
      <c r="A75" s="12" t="str">
        <f>IFERROR(__xludf.DUMMYFUNCTION("""COMPUTED_VALUE"""),"ce542ae33bf4f70a34b8641eaac2e4d0")</f>
        <v>ce542ae33bf4f70a34b8641eaac2e4d0</v>
      </c>
      <c r="B75" s="12" t="str">
        <f>IFERROR(__xludf.DUMMYFUNCTION("""COMPUTED_VALUE"""),"Previous studies, of wildlife crime, have revealed some variation of sentencing across the country, in different aimags, but, generally speaking, limits on data availability prevent a thorough comparison. For example, a mining licence can be revoked for f"&amp;"ailure to adopt an EMP, comply with such a plan or submit compliance reports. The former data set provides information on the location, date of detection, type of crime or infringement, classification of the offence and status of the procedure (e.g. wheth"&amp;"er transferred to the prosecutor’s office with a recommendation to prosecute). The latter data set provides information on damage and on items seized. Information is not available on the outcome of prosecution, including sentencing. Figure 2.5 shows the e"&amp;"volution of criminal law violations over the period 2011-2016 with the data appearing to be incomplete in the period 2009-2010.")</f>
        <v>Previous studies, of wildlife crime, have revealed some variation of sentencing across the country, in different aimags, but, generally speaking, limits on data availability prevent a thorough comparison. For example, a mining licence can be revoked for failure to adopt an EMP, comply with such a plan or submit compliance reports. The former data set provides information on the location, date of detection, type of crime or infringement, classification of the offence and status of the procedure (e.g. whether transferred to the prosecutor’s office with a recommendation to prosecute). The latter data set provides information on damage and on items seized. Information is not available on the outcome of prosecution, including sentencing. Figure 2.5 shows the evolution of criminal law violations over the period 2011-2016 with the data appearing to be incomplete in the period 2009-2010.</v>
      </c>
      <c r="C75" s="54"/>
      <c r="D75" s="49" t="b">
        <f t="shared" ref="D75:H75" si="155">VLOOKUP($A75, INDIRECT(D$1&amp;"!A:C"), 3, FALSE)</f>
        <v>0</v>
      </c>
      <c r="E75" s="49" t="str">
        <f t="shared" si="155"/>
        <v>TO DO</v>
      </c>
      <c r="F75" s="49" t="str">
        <f t="shared" si="155"/>
        <v>TO DO</v>
      </c>
      <c r="G75" s="49" t="b">
        <f t="shared" si="155"/>
        <v>0</v>
      </c>
      <c r="H75" s="49" t="b">
        <f t="shared" si="155"/>
        <v>0</v>
      </c>
      <c r="I75" s="50">
        <f t="shared" si="4"/>
        <v>1</v>
      </c>
      <c r="J75" s="51" t="str">
        <f t="shared" ref="J75:N75" si="156">VLOOKUP($A75, INDIRECT(J$1&amp;"!A:D"), 4, FALSE)</f>
        <v/>
      </c>
      <c r="K75" s="51" t="str">
        <f t="shared" si="156"/>
        <v/>
      </c>
      <c r="L75" s="51" t="str">
        <f t="shared" si="156"/>
        <v/>
      </c>
      <c r="M75" s="51" t="str">
        <f t="shared" si="156"/>
        <v/>
      </c>
      <c r="N75" s="51" t="str">
        <f t="shared" si="156"/>
        <v>wildlife crimes</v>
      </c>
      <c r="O75" s="50" t="str">
        <f>IFERROR(__xludf.DUMMYFUNCTION("IF(COUNTA(J75:N75)=0, """", ARRAYFORMULA(""- ""&amp;TEXTJOIN(char(10)&amp;""- "", TRUE, FILTER(J$1:N$1&amp;"": ""&amp;J75:N75, NOT(ISBLANK(J75:N75))))))"),"- Steve: wildlife crimes")</f>
        <v>- Steve: wildlife crimes</v>
      </c>
      <c r="P75" s="50" t="s">
        <v>468</v>
      </c>
      <c r="Q75" s="52" t="b">
        <f t="shared" si="150"/>
        <v>0</v>
      </c>
      <c r="R75" s="24">
        <f t="shared" si="7"/>
        <v>3</v>
      </c>
    </row>
    <row r="76" hidden="1">
      <c r="A76" s="12" t="str">
        <f>IFERROR(__xludf.DUMMYFUNCTION("""COMPUTED_VALUE"""),"e63e24fa452209fc8000bc37d582ff2c")</f>
        <v>e63e24fa452209fc8000bc37d582ff2c</v>
      </c>
      <c r="B76" s="12" t="str">
        <f>IFERROR(__xludf.DUMMYFUNCTION("""COMPUTED_VALUE"""),"Policy principles and objectives have been established, municipalities are required to prepare Integrated Solid Waste Management Plans and technical regulations and guidelines have been issued. However, the policies and action plans that were developed in"&amp;" parallel to address waste issues at national, regional and municipal levels do not provide comprehensive and consistent guidance. As a consequence, opportunities to increase the environmental effectiveness and economic efficiency of waste policies (by de"&amp;"veloping an efficient waste infrastructure network, for example) remain unexploited. Positive policy developments include the 2010 Policy on Sustainable Production and Consumption, efforts to promote cleaner production, an ambitious policy on extended pro"&amp;"ducer responsibility (EPR) and attempts to establish green public purchasing.")</f>
        <v>Policy principles and objectives have been established, municipalities are required to prepare Integrated Solid Waste Management Plans and technical regulations and guidelines have been issued. However, the policies and action plans that were developed in parallel to address waste issues at national, regional and municipal levels do not provide comprehensive and consistent guidance. As a consequence, opportunities to increase the environmental effectiveness and economic efficiency of waste policies (by developing an efficient waste infrastructure network, for example) remain unexploited. Positive policy developments include the 2010 Policy on Sustainable Production and Consumption, efforts to promote cleaner production, an ambitious policy on extended producer responsibility (EPR) and attempts to establish green public purchasing.</v>
      </c>
      <c r="C76" s="49"/>
      <c r="D76" s="49" t="b">
        <f t="shared" ref="D76:H76" si="157">VLOOKUP($A76, INDIRECT(D$1&amp;"!A:C"), 3, FALSE)</f>
        <v>1</v>
      </c>
      <c r="E76" s="49" t="str">
        <f t="shared" si="157"/>
        <v>TO DO</v>
      </c>
      <c r="F76" s="49" t="str">
        <f t="shared" si="157"/>
        <v>TO DO</v>
      </c>
      <c r="G76" s="49" t="str">
        <f t="shared" si="157"/>
        <v>TO DO</v>
      </c>
      <c r="H76" s="49" t="str">
        <f t="shared" si="157"/>
        <v>TO DO</v>
      </c>
      <c r="I76" s="50">
        <f t="shared" si="4"/>
        <v>1</v>
      </c>
      <c r="J76" s="51" t="str">
        <f t="shared" ref="J76:N76" si="158">VLOOKUP($A76, INDIRECT(J$1&amp;"!A:D"), 4, FALSE)</f>
        <v/>
      </c>
      <c r="K76" s="51" t="str">
        <f t="shared" si="158"/>
        <v/>
      </c>
      <c r="L76" s="51" t="str">
        <f t="shared" si="158"/>
        <v/>
      </c>
      <c r="M76" s="51" t="str">
        <f t="shared" si="158"/>
        <v/>
      </c>
      <c r="N76" s="51" t="str">
        <f t="shared" si="158"/>
        <v/>
      </c>
      <c r="O76" s="50" t="str">
        <f>IFERROR(__xludf.DUMMYFUNCTION("IF(COUNTA(J76:N76)=0, """", ARRAYFORMULA(""- ""&amp;TEXTJOIN(char(10)&amp;""- "", TRUE, FILTER(J$1:N$1&amp;"": ""&amp;J76:N76, NOT(ISBLANK(J76:N76))))))"),"")</f>
        <v/>
      </c>
      <c r="P76" s="50" t="s">
        <v>432</v>
      </c>
      <c r="Q76" s="52" t="b">
        <f t="shared" si="150"/>
        <v>1</v>
      </c>
      <c r="R76" s="24">
        <f t="shared" si="7"/>
        <v>1</v>
      </c>
    </row>
    <row r="77" hidden="1">
      <c r="A77" s="12" t="str">
        <f>IFERROR(__xludf.DUMMYFUNCTION("""COMPUTED_VALUE"""),"fe00789e13ec56b1624f016c682abea0")</f>
        <v>fe00789e13ec56b1624f016c682abea0</v>
      </c>
      <c r="B77" s="12" t="str">
        <f>IFERROR(__xludf.DUMMYFUNCTION("""COMPUTED_VALUE"""),"Such information is provided in the form of quantitative and qualitative data as part of a company’s reporting process. Key performance indicators comprise the quantitative data, an example of qualitative data can be found in the description of a company’"&amp;"s sustainability strategies and reporting policies. Examples include the portal of the Government of France (info-financiere.")</f>
        <v>Such information is provided in the form of quantitative and qualitative data as part of a company’s reporting process. Key performance indicators comprise the quantitative data, an example of qualitative data can be found in the description of a company’s sustainability strategies and reporting policies. Examples include the portal of the Government of France (info-financiere.</v>
      </c>
      <c r="C77" s="54" t="s">
        <v>439</v>
      </c>
      <c r="D77" s="49" t="b">
        <f t="shared" ref="D77:H77" si="159">VLOOKUP($A77, INDIRECT(D$1&amp;"!A:C"), 3, FALSE)</f>
        <v>0</v>
      </c>
      <c r="E77" s="49" t="b">
        <f t="shared" si="159"/>
        <v>0</v>
      </c>
      <c r="F77" s="49" t="str">
        <f t="shared" si="159"/>
        <v>TO DO</v>
      </c>
      <c r="G77" s="49" t="str">
        <f t="shared" si="159"/>
        <v>TO DO</v>
      </c>
      <c r="H77" s="49" t="b">
        <f t="shared" si="159"/>
        <v>1</v>
      </c>
      <c r="I77" s="50">
        <f t="shared" si="4"/>
        <v>0.3333333333</v>
      </c>
      <c r="J77" s="51" t="str">
        <f t="shared" ref="J77:N77" si="160">VLOOKUP($A77, INDIRECT(J$1&amp;"!A:D"), 4, FALSE)</f>
        <v/>
      </c>
      <c r="K77" s="51" t="str">
        <f t="shared" si="160"/>
        <v>Could be SDG 12, but it is unclear what companies report about.</v>
      </c>
      <c r="L77" s="51" t="str">
        <f t="shared" si="160"/>
        <v/>
      </c>
      <c r="M77" s="51" t="str">
        <f t="shared" si="160"/>
        <v/>
      </c>
      <c r="N77" s="51" t="str">
        <f t="shared" si="160"/>
        <v/>
      </c>
      <c r="O77" s="50" t="str">
        <f>IFERROR(__xludf.DUMMYFUNCTION("IF(COUNTA(J77:N77)=0, """", ARRAYFORMULA(""- ""&amp;TEXTJOIN(char(10)&amp;""- "", TRUE, FILTER(J$1:N$1&amp;"": ""&amp;J77:N77, NOT(ISBLANK(J77:N77))))))"),"- Gib: Could be SDG 12, but it is unclear what companies report about.")</f>
        <v>- Gib: Could be SDG 12, but it is unclear what companies report about.</v>
      </c>
      <c r="P77" s="50" t="s">
        <v>469</v>
      </c>
      <c r="Q77" s="52" t="str">
        <f t="shared" si="150"/>
        <v>UNDECIDED</v>
      </c>
      <c r="R77" s="24">
        <f t="shared" si="7"/>
        <v>3</v>
      </c>
    </row>
    <row r="78">
      <c r="A78" s="12" t="str">
        <f>IFERROR(__xludf.DUMMYFUNCTION("""COMPUTED_VALUE"""),"175fad9c8b9dcce44c7cc98b032d07e1")</f>
        <v>175fad9c8b9dcce44c7cc98b032d07e1</v>
      </c>
      <c r="B78" s="12" t="str">
        <f>IFERROR(__xludf.DUMMYFUNCTION("""COMPUTED_VALUE"""),"Importantly, the IUCN works through specialist commissions that provide the Union with information and know-how. All the members of the IUCN together agree on, for example, the work programme of the organization. This would mean conducting studies and dev"&amp;"eloping new policy recommendations or instruments based on the latest scientific findings. In addition, the IUCN governance structure could be used as a partial model for the post-2020 chemicals and waste management regime: the ICCM acts as the general as"&amp;"sembly of members, and a governing council could be established to work under the direction and monitoring of the ICCM.")</f>
        <v>Importantly, the IUCN works through specialist commissions that provide the Union with information and know-how. All the members of the IUCN together agree on, for example, the work programme of the organization. This would mean conducting studies and developing new policy recommendations or instruments based on the latest scientific findings. In addition, the IUCN governance structure could be used as a partial model for the post-2020 chemicals and waste management regime: the ICCM acts as the general assembly of members, and a governing council could be established to work under the direction and monitoring of the ICCM.</v>
      </c>
      <c r="C78" s="54"/>
      <c r="D78" s="49" t="b">
        <f t="shared" ref="D78:H78" si="161">VLOOKUP($A78, INDIRECT(D$1&amp;"!A:C"), 3, FALSE)</f>
        <v>1</v>
      </c>
      <c r="E78" s="49" t="b">
        <f t="shared" si="161"/>
        <v>1</v>
      </c>
      <c r="F78" s="49" t="str">
        <f t="shared" si="161"/>
        <v>TO DO</v>
      </c>
      <c r="G78" s="49" t="str">
        <f t="shared" si="161"/>
        <v>TO DO</v>
      </c>
      <c r="H78" s="49" t="b">
        <f t="shared" si="161"/>
        <v>1</v>
      </c>
      <c r="I78" s="50">
        <f t="shared" si="4"/>
        <v>1</v>
      </c>
      <c r="J78" s="51" t="str">
        <f t="shared" ref="J78:N78" si="162">VLOOKUP($A78, INDIRECT(J$1&amp;"!A:D"), 4, FALSE)</f>
        <v/>
      </c>
      <c r="K78" s="51" t="str">
        <f t="shared" si="162"/>
        <v/>
      </c>
      <c r="L78" s="51" t="str">
        <f t="shared" si="162"/>
        <v/>
      </c>
      <c r="M78" s="51" t="str">
        <f t="shared" si="162"/>
        <v/>
      </c>
      <c r="N78" s="51" t="str">
        <f t="shared" si="162"/>
        <v>though no direct notion to improve chemicals or waste management</v>
      </c>
      <c r="O78" s="50" t="str">
        <f>IFERROR(__xludf.DUMMYFUNCTION("IF(COUNTA(J78:N78)=0, """", ARRAYFORMULA(""- ""&amp;TEXTJOIN(char(10)&amp;""- "", TRUE, FILTER(J$1:N$1&amp;"": ""&amp;J78:N78, NOT(ISBLANK(J78:N78))))))"),"- Steve: though no direct notion to improve chemicals or waste management")</f>
        <v>- Steve: though no direct notion to improve chemicals or waste management</v>
      </c>
      <c r="P78" s="50" t="s">
        <v>470</v>
      </c>
      <c r="Q78" s="52" t="b">
        <f t="shared" si="150"/>
        <v>1</v>
      </c>
      <c r="R78" s="24">
        <f t="shared" si="7"/>
        <v>3</v>
      </c>
    </row>
    <row r="79">
      <c r="A79" s="12" t="str">
        <f>IFERROR(__xludf.DUMMYFUNCTION("""COMPUTED_VALUE"""),"d679f7406fda45349991085239143a4e")</f>
        <v>d679f7406fda45349991085239143a4e</v>
      </c>
      <c r="B79" s="12" t="str">
        <f>IFERROR(__xludf.DUMMYFUNCTION("""COMPUTED_VALUE"""),"Good corporate governance makes for good business for all. Good corporate governance helps reduce the risks that smaller firms may face as well. At the other end of the spectrum, cases of corporate malfeasance in state-owned enterprises illustrate that re"&amp;"gardless of size or ownership, good corporate governance is critical.")</f>
        <v>Good corporate governance makes for good business for all. Good corporate governance helps reduce the risks that smaller firms may face as well. At the other end of the spectrum, cases of corporate malfeasance in state-owned enterprises illustrate that regardless of size or ownership, good corporate governance is critical.</v>
      </c>
      <c r="C79" s="53"/>
      <c r="D79" s="49" t="b">
        <f t="shared" ref="D79:H79" si="163">VLOOKUP($A79, INDIRECT(D$1&amp;"!A:C"), 3, FALSE)</f>
        <v>0</v>
      </c>
      <c r="E79" s="49" t="str">
        <f t="shared" si="163"/>
        <v>TO DO</v>
      </c>
      <c r="F79" s="49" t="str">
        <f t="shared" si="163"/>
        <v>TO DO</v>
      </c>
      <c r="G79" s="49" t="b">
        <f t="shared" si="163"/>
        <v>0</v>
      </c>
      <c r="H79" s="49" t="b">
        <f t="shared" si="163"/>
        <v>0</v>
      </c>
      <c r="I79" s="50">
        <f t="shared" si="4"/>
        <v>1</v>
      </c>
      <c r="J79" s="51" t="str">
        <f t="shared" ref="J79:N79" si="164">VLOOKUP($A79, INDIRECT(J$1&amp;"!A:D"), 4, FALSE)</f>
        <v/>
      </c>
      <c r="K79" s="51" t="str">
        <f t="shared" si="164"/>
        <v/>
      </c>
      <c r="L79" s="51" t="str">
        <f t="shared" si="164"/>
        <v/>
      </c>
      <c r="M79" s="51" t="str">
        <f t="shared" si="164"/>
        <v/>
      </c>
      <c r="N79" s="51" t="str">
        <f t="shared" si="164"/>
        <v>good corporate governance does not necessarily mean ESG or CSR </v>
      </c>
      <c r="O79" s="50" t="str">
        <f>IFERROR(__xludf.DUMMYFUNCTION("IF(COUNTA(J79:N79)=0, """", ARRAYFORMULA(""- ""&amp;TEXTJOIN(char(10)&amp;""- "", TRUE, FILTER(J$1:N$1&amp;"": ""&amp;J79:N79, NOT(ISBLANK(J79:N79))))))"),"- Steve: good corporate governance does not necessarily mean ESG or CSR ")</f>
        <v>- Steve: good corporate governance does not necessarily mean ESG or CSR </v>
      </c>
      <c r="P79" s="50" t="s">
        <v>471</v>
      </c>
      <c r="Q79" s="52" t="b">
        <f t="shared" si="150"/>
        <v>0</v>
      </c>
      <c r="R79" s="24">
        <f t="shared" si="7"/>
        <v>3</v>
      </c>
    </row>
    <row r="80">
      <c r="A80" s="12" t="str">
        <f>IFERROR(__xludf.DUMMYFUNCTION("""COMPUTED_VALUE"""),"f17f196c4431d28aeac6205c78ddb847")</f>
        <v>f17f196c4431d28aeac6205c78ddb847</v>
      </c>
      <c r="B80" s="12" t="str">
        <f>IFERROR(__xludf.DUMMYFUNCTION("""COMPUTED_VALUE"""),"The statement was welcomed by the Advisory Group. During the intersessional period, discussion continued on whether sustainability reporting and core indicators should be used at a corporate consolidated level or at a legal entity level. Given that the im"&amp;"pact of companies is realized at the local level, some experts argue that data should be provided by a legal entity of a home country. However, it is also important to consider that group-level consolidated sustainability reporting is critical as a means "&amp;"to align corporate behaviour and business models with the 2030 Agenda. Consolidated reporting is also a basis for financial decision-making by investors.")</f>
        <v>The statement was welcomed by the Advisory Group. During the intersessional period, discussion continued on whether sustainability reporting and core indicators should be used at a corporate consolidated level or at a legal entity level. Given that the impact of companies is realized at the local level, some experts argue that data should be provided by a legal entity of a home country. However, it is also important to consider that group-level consolidated sustainability reporting is critical as a means to align corporate behaviour and business models with the 2030 Agenda. Consolidated reporting is also a basis for financial decision-making by investors.</v>
      </c>
      <c r="C80" s="53"/>
      <c r="D80" s="49" t="b">
        <f t="shared" ref="D80:H80" si="165">VLOOKUP($A80, INDIRECT(D$1&amp;"!A:C"), 3, FALSE)</f>
        <v>1</v>
      </c>
      <c r="E80" s="49" t="str">
        <f t="shared" si="165"/>
        <v>TO DO</v>
      </c>
      <c r="F80" s="49" t="str">
        <f t="shared" si="165"/>
        <v>TO DO</v>
      </c>
      <c r="G80" s="49" t="b">
        <f t="shared" si="165"/>
        <v>1</v>
      </c>
      <c r="H80" s="49" t="b">
        <f t="shared" si="165"/>
        <v>1</v>
      </c>
      <c r="I80" s="50">
        <f t="shared" si="4"/>
        <v>1</v>
      </c>
      <c r="J80" s="51" t="str">
        <f t="shared" ref="J80:N80" si="166">VLOOKUP($A80, INDIRECT(J$1&amp;"!A:D"), 4, FALSE)</f>
        <v/>
      </c>
      <c r="K80" s="51" t="str">
        <f t="shared" si="166"/>
        <v/>
      </c>
      <c r="L80" s="51" t="str">
        <f t="shared" si="166"/>
        <v/>
      </c>
      <c r="M80" s="51" t="str">
        <f t="shared" si="166"/>
        <v/>
      </c>
      <c r="N80" s="51" t="str">
        <f t="shared" si="166"/>
        <v/>
      </c>
      <c r="O80" s="50" t="str">
        <f>IFERROR(__xludf.DUMMYFUNCTION("IF(COUNTA(J80:N80)=0, """", ARRAYFORMULA(""- ""&amp;TEXTJOIN(char(10)&amp;""- "", TRUE, FILTER(J$1:N$1&amp;"": ""&amp;J80:N80, NOT(ISBLANK(J80:N80))))))"),"")</f>
        <v/>
      </c>
      <c r="P80" s="50" t="s">
        <v>432</v>
      </c>
      <c r="Q80" s="52" t="b">
        <f t="shared" si="150"/>
        <v>1</v>
      </c>
      <c r="R80" s="24">
        <f t="shared" si="7"/>
        <v>3</v>
      </c>
    </row>
    <row r="81">
      <c r="A81" s="12" t="str">
        <f>IFERROR(__xludf.DUMMYFUNCTION("""COMPUTED_VALUE"""),"43db05d16c51cafb451321dbca30d967")</f>
        <v>43db05d16c51cafb451321dbca30d967</v>
      </c>
      <c r="B81" s="12" t="str">
        <f>IFERROR(__xludf.DUMMYFUNCTION("""COMPUTED_VALUE"""),"This huge increase alone speaks of amazing achievements in terms of ICT access and bridging the digital divide. This interpretation, however, would be very narrow as the factors leading to ICT access are bound to interact with the environments in which th"&amp;"ey operate. In this case, a critical analysis of mobile subscriptions by level of development should trigger alarm bells as the sharp increase in ICT access is inordinately skewed towards developing countries as illustrated in figure 9.2.")</f>
        <v>This huge increase alone speaks of amazing achievements in terms of ICT access and bridging the digital divide. This interpretation, however, would be very narrow as the factors leading to ICT access are bound to interact with the environments in which they operate. In this case, a critical analysis of mobile subscriptions by level of development should trigger alarm bells as the sharp increase in ICT access is inordinately skewed towards developing countries as illustrated in figure 9.2.</v>
      </c>
      <c r="C81" s="7"/>
      <c r="D81" s="49" t="b">
        <f t="shared" ref="D81:H81" si="167">VLOOKUP($A81, INDIRECT(D$1&amp;"!A:C"), 3, FALSE)</f>
        <v>0</v>
      </c>
      <c r="E81" s="49" t="str">
        <f t="shared" si="167"/>
        <v>TO DO</v>
      </c>
      <c r="F81" s="49" t="str">
        <f t="shared" si="167"/>
        <v>TO DO</v>
      </c>
      <c r="G81" s="49" t="b">
        <f t="shared" si="167"/>
        <v>0</v>
      </c>
      <c r="H81" s="49" t="b">
        <f t="shared" si="167"/>
        <v>0</v>
      </c>
      <c r="I81" s="50">
        <f t="shared" si="4"/>
        <v>1</v>
      </c>
      <c r="J81" s="51" t="str">
        <f t="shared" ref="J81:N81" si="168">VLOOKUP($A81, INDIRECT(J$1&amp;"!A:D"), 4, FALSE)</f>
        <v/>
      </c>
      <c r="K81" s="51" t="str">
        <f t="shared" si="168"/>
        <v/>
      </c>
      <c r="L81" s="51" t="str">
        <f t="shared" si="168"/>
        <v/>
      </c>
      <c r="M81" s="51" t="str">
        <f t="shared" si="168"/>
        <v/>
      </c>
      <c r="N81" s="51" t="str">
        <f t="shared" si="168"/>
        <v/>
      </c>
      <c r="O81" s="50" t="str">
        <f>IFERROR(__xludf.DUMMYFUNCTION("IF(COUNTA(J81:N81)=0, """", ARRAYFORMULA(""- ""&amp;TEXTJOIN(char(10)&amp;""- "", TRUE, FILTER(J$1:N$1&amp;"": ""&amp;J81:N81, NOT(ISBLANK(J81:N81))))))"),"")</f>
        <v/>
      </c>
      <c r="P81" s="50" t="s">
        <v>432</v>
      </c>
      <c r="Q81" s="52" t="b">
        <f t="shared" si="150"/>
        <v>0</v>
      </c>
      <c r="R81" s="24">
        <f t="shared" si="7"/>
        <v>3</v>
      </c>
    </row>
    <row r="82" hidden="1">
      <c r="A82" s="12" t="str">
        <f>IFERROR(__xludf.DUMMYFUNCTION("""COMPUTED_VALUE"""),"dfd51e36b47fe8a10fdd1d789001501e")</f>
        <v>dfd51e36b47fe8a10fdd1d789001501e</v>
      </c>
      <c r="B82" s="12" t="str">
        <f>IFERROR(__xludf.DUMMYFUNCTION("""COMPUTED_VALUE"""),"Commercial waste, street sweepings and ash were not included in this analysis. These show comparable results, differing only in metals fraction, because the EcoPark study also included waste separation and recycling data. Construction waste is normally fo"&amp;"und in MSW in a share lower than 1 or 2 per cent, therefore, it was excluded from data reported by Batbileg et al.")</f>
        <v>Commercial waste, street sweepings and ash were not included in this analysis. These show comparable results, differing only in metals fraction, because the EcoPark study also included waste separation and recycling data. Construction waste is normally found in MSW in a share lower than 1 or 2 per cent, therefore, it was excluded from data reported by Batbileg et al.</v>
      </c>
      <c r="C82" s="54" t="s">
        <v>439</v>
      </c>
      <c r="D82" s="49" t="b">
        <f t="shared" ref="D82:H82" si="169">VLOOKUP($A82, INDIRECT(D$1&amp;"!A:C"), 3, FALSE)</f>
        <v>0</v>
      </c>
      <c r="E82" s="49" t="str">
        <f t="shared" si="169"/>
        <v>TO DO</v>
      </c>
      <c r="F82" s="49" t="str">
        <f t="shared" si="169"/>
        <v>TO DO</v>
      </c>
      <c r="G82" s="49" t="b">
        <f t="shared" si="169"/>
        <v>1</v>
      </c>
      <c r="H82" s="49" t="b">
        <f t="shared" si="169"/>
        <v>0</v>
      </c>
      <c r="I82" s="50">
        <f t="shared" si="4"/>
        <v>0.3333333333</v>
      </c>
      <c r="J82" s="51" t="str">
        <f t="shared" ref="J82:N82" si="170">VLOOKUP($A82, INDIRECT(J$1&amp;"!A:D"), 4, FALSE)</f>
        <v/>
      </c>
      <c r="K82" s="51" t="str">
        <f t="shared" si="170"/>
        <v/>
      </c>
      <c r="L82" s="51" t="str">
        <f t="shared" si="170"/>
        <v/>
      </c>
      <c r="M82" s="51" t="str">
        <f t="shared" si="170"/>
        <v/>
      </c>
      <c r="N82" s="51" t="str">
        <f t="shared" si="170"/>
        <v>just data reporting</v>
      </c>
      <c r="O82" s="50" t="str">
        <f>IFERROR(__xludf.DUMMYFUNCTION("IF(COUNTA(J82:N82)=0, """", ARRAYFORMULA(""- ""&amp;TEXTJOIN(char(10)&amp;""- "", TRUE, FILTER(J$1:N$1&amp;"": ""&amp;J82:N82, NOT(ISBLANK(J82:N82))))))"),"- Steve: just data reporting")</f>
        <v>- Steve: just data reporting</v>
      </c>
      <c r="P82" s="50" t="s">
        <v>472</v>
      </c>
      <c r="Q82" s="52" t="str">
        <f t="shared" si="150"/>
        <v>UNDECIDED</v>
      </c>
      <c r="R82" s="24">
        <f t="shared" si="7"/>
        <v>3</v>
      </c>
    </row>
    <row r="83">
      <c r="A83" s="12" t="str">
        <f>IFERROR(__xludf.DUMMYFUNCTION("""COMPUTED_VALUE"""),"9fef02dedda6d91de6e74e1d7d3baab2")</f>
        <v>9fef02dedda6d91de6e74e1d7d3baab2</v>
      </c>
      <c r="B83" s="12" t="str">
        <f>IFERROR(__xludf.DUMMYFUNCTION("""COMPUTED_VALUE"""),"It identifies opportunities and challenges for implementing SPP and provides guidance for governments in developing and implementing successful SPP programs. It saw reiteration in the Johannesburg Plan of Implementation in 2002 and more recently, at the 1"&amp;"9m Session of the Commission on Sustainable Development in 2011. It forms part of the 10 year Framework of Programmes suggested at the recently concluded Summit in Rio in June 2012.")</f>
        <v>It identifies opportunities and challenges for implementing SPP and provides guidance for governments in developing and implementing successful SPP programs. It saw reiteration in the Johannesburg Plan of Implementation in 2002 and more recently, at the 19m Session of the Commission on Sustainable Development in 2011. It forms part of the 10 year Framework of Programmes suggested at the recently concluded Summit in Rio in June 2012.</v>
      </c>
      <c r="C83" s="53"/>
      <c r="D83" s="49" t="b">
        <f t="shared" ref="D83:H83" si="171">VLOOKUP($A83, INDIRECT(D$1&amp;"!A:C"), 3, FALSE)</f>
        <v>1</v>
      </c>
      <c r="E83" s="49" t="str">
        <f t="shared" si="171"/>
        <v>TO DO</v>
      </c>
      <c r="F83" s="49" t="str">
        <f t="shared" si="171"/>
        <v>TO DO</v>
      </c>
      <c r="G83" s="49" t="b">
        <f t="shared" si="171"/>
        <v>1</v>
      </c>
      <c r="H83" s="49" t="b">
        <f t="shared" si="171"/>
        <v>1</v>
      </c>
      <c r="I83" s="50">
        <f t="shared" si="4"/>
        <v>1</v>
      </c>
      <c r="J83" s="51" t="str">
        <f t="shared" ref="J83:N83" si="172">VLOOKUP($A83, INDIRECT(J$1&amp;"!A:D"), 4, FALSE)</f>
        <v>SPP = Sustainable Public Procurement</v>
      </c>
      <c r="K83" s="51" t="str">
        <f t="shared" si="172"/>
        <v/>
      </c>
      <c r="L83" s="51" t="str">
        <f t="shared" si="172"/>
        <v/>
      </c>
      <c r="M83" s="51" t="str">
        <f t="shared" si="172"/>
        <v/>
      </c>
      <c r="N83" s="51" t="str">
        <f t="shared" si="172"/>
        <v>sustainable public procurement</v>
      </c>
      <c r="O83" s="50" t="str">
        <f>IFERROR(__xludf.DUMMYFUNCTION("IF(COUNTA(J83:N83)=0, """", ARRAYFORMULA(""- ""&amp;TEXTJOIN(char(10)&amp;""- "", TRUE, FILTER(J$1:N$1&amp;"": ""&amp;J83:N83, NOT(ISBLANK(J83:N83))))))"),"- Finn: SPP = Sustainable Public Procurement
- Steve: sustainable public procurement")</f>
        <v>- Finn: SPP = Sustainable Public Procurement
- Steve: sustainable public procurement</v>
      </c>
      <c r="P83" s="50" t="s">
        <v>473</v>
      </c>
      <c r="Q83" s="52" t="b">
        <f t="shared" si="150"/>
        <v>1</v>
      </c>
      <c r="R83" s="24">
        <f t="shared" si="7"/>
        <v>3</v>
      </c>
    </row>
    <row r="84" hidden="1">
      <c r="A84" s="12" t="str">
        <f>IFERROR(__xludf.DUMMYFUNCTION("""COMPUTED_VALUE"""),"1cd8c5958dad8616aabc4fa432b5ead7")</f>
        <v>1cd8c5958dad8616aabc4fa432b5ead7</v>
      </c>
      <c r="B84" s="12" t="str">
        <f>IFERROR(__xludf.DUMMYFUNCTION("""COMPUTED_VALUE"""),"For material flows and waste there are still unresolved conceptual issues and establishing indicators requires a lot of effort, if they are based on a national physical input-output table showing interdependencies among sectors in physical flows. We have "&amp;"employed sectoral footprints to show the natural resource use per expenditure in sectors. Footprint accounts deliver sectoral disaggregation by expenditure categories for products of major sectors.")</f>
        <v>For material flows and waste there are still unresolved conceptual issues and establishing indicators requires a lot of effort, if they are based on a national physical input-output table showing interdependencies among sectors in physical flows. We have employed sectoral footprints to show the natural resource use per expenditure in sectors. Footprint accounts deliver sectoral disaggregation by expenditure categories for products of major sectors.</v>
      </c>
      <c r="C84" s="54"/>
      <c r="D84" s="49" t="b">
        <f t="shared" ref="D84:H84" si="173">VLOOKUP($A84, INDIRECT(D$1&amp;"!A:C"), 3, FALSE)</f>
        <v>0</v>
      </c>
      <c r="E84" s="49" t="str">
        <f t="shared" si="173"/>
        <v>TO DO</v>
      </c>
      <c r="F84" s="49" t="str">
        <f t="shared" si="173"/>
        <v>TO DO</v>
      </c>
      <c r="G84" s="49" t="str">
        <f t="shared" si="173"/>
        <v>TO DO</v>
      </c>
      <c r="H84" s="49" t="str">
        <f t="shared" si="173"/>
        <v>TO DO</v>
      </c>
      <c r="I84" s="50">
        <f t="shared" si="4"/>
        <v>1</v>
      </c>
      <c r="J84" s="51" t="str">
        <f t="shared" ref="J84:N84" si="174">VLOOKUP($A84, INDIRECT(J$1&amp;"!A:D"), 4, FALSE)</f>
        <v/>
      </c>
      <c r="K84" s="51" t="str">
        <f t="shared" si="174"/>
        <v/>
      </c>
      <c r="L84" s="51" t="str">
        <f t="shared" si="174"/>
        <v/>
      </c>
      <c r="M84" s="51" t="str">
        <f t="shared" si="174"/>
        <v/>
      </c>
      <c r="N84" s="51" t="str">
        <f t="shared" si="174"/>
        <v/>
      </c>
      <c r="O84" s="50" t="str">
        <f>IFERROR(__xludf.DUMMYFUNCTION("IF(COUNTA(J84:N84)=0, """", ARRAYFORMULA(""- ""&amp;TEXTJOIN(char(10)&amp;""- "", TRUE, FILTER(J$1:N$1&amp;"": ""&amp;J84:N84, NOT(ISBLANK(J84:N84))))))"),"")</f>
        <v/>
      </c>
      <c r="P84" s="50" t="s">
        <v>432</v>
      </c>
      <c r="Q84" s="52" t="b">
        <f t="shared" si="150"/>
        <v>0</v>
      </c>
      <c r="R84" s="24">
        <f t="shared" si="7"/>
        <v>1</v>
      </c>
    </row>
    <row r="85">
      <c r="A85" s="12" t="str">
        <f>IFERROR(__xludf.DUMMYFUNCTION("""COMPUTED_VALUE"""),"1f90c5a8981fc4c095f70aea892ff94e")</f>
        <v>1f90c5a8981fc4c095f70aea892ff94e</v>
      </c>
      <c r="B85" s="12" t="str">
        <f>IFERROR(__xludf.DUMMYFUNCTION("""COMPUTED_VALUE"""),"Based on 2011 data, generation is above average in the Capital area at 460 kg/cap/y, and in the coastal region influenced by tourism at 480 kg/cap/y, although excluding the impact of tourists the average is 420 kg/cap/y. The remaining inland region shows "&amp;"under-average waste generation, at only 223 kg/cap/y. The reason for such a high variation in per capita waste generation at county level could be because the impact of the non-permanent tourist population is not considered in the calculation of this indi"&amp;"cator.")</f>
        <v>Based on 2011 data, generation is above average in the Capital area at 460 kg/cap/y, and in the coastal region influenced by tourism at 480 kg/cap/y, although excluding the impact of tourists the average is 420 kg/cap/y. The remaining inland region shows under-average waste generation, at only 223 kg/cap/y. The reason for such a high variation in per capita waste generation at county level could be because the impact of the non-permanent tourist population is not considered in the calculation of this indicator.</v>
      </c>
      <c r="C85" s="54"/>
      <c r="D85" s="49" t="b">
        <f t="shared" ref="D85:H85" si="175">VLOOKUP($A85, INDIRECT(D$1&amp;"!A:C"), 3, FALSE)</f>
        <v>1</v>
      </c>
      <c r="E85" s="49" t="b">
        <f t="shared" si="175"/>
        <v>1</v>
      </c>
      <c r="F85" s="49" t="str">
        <f t="shared" si="175"/>
        <v>TO DO</v>
      </c>
      <c r="G85" s="49" t="str">
        <f t="shared" si="175"/>
        <v>TO DO</v>
      </c>
      <c r="H85" s="49" t="b">
        <f t="shared" si="175"/>
        <v>1</v>
      </c>
      <c r="I85" s="50">
        <f t="shared" si="4"/>
        <v>1</v>
      </c>
      <c r="J85" s="51" t="str">
        <f t="shared" ref="J85:N85" si="176">VLOOKUP($A85, INDIRECT(J$1&amp;"!A:D"), 4, FALSE)</f>
        <v/>
      </c>
      <c r="K85" s="51" t="str">
        <f t="shared" si="176"/>
        <v/>
      </c>
      <c r="L85" s="51" t="str">
        <f t="shared" si="176"/>
        <v/>
      </c>
      <c r="M85" s="51" t="str">
        <f t="shared" si="176"/>
        <v/>
      </c>
      <c r="N85" s="51" t="str">
        <f t="shared" si="176"/>
        <v/>
      </c>
      <c r="O85" s="50" t="str">
        <f>IFERROR(__xludf.DUMMYFUNCTION("IF(COUNTA(J85:N85)=0, """", ARRAYFORMULA(""- ""&amp;TEXTJOIN(char(10)&amp;""- "", TRUE, FILTER(J$1:N$1&amp;"": ""&amp;J85:N85, NOT(ISBLANK(J85:N85))))))"),"")</f>
        <v/>
      </c>
      <c r="P85" s="50" t="s">
        <v>432</v>
      </c>
      <c r="Q85" s="52" t="b">
        <f t="shared" si="150"/>
        <v>1</v>
      </c>
      <c r="R85" s="24">
        <f t="shared" si="7"/>
        <v>3</v>
      </c>
    </row>
    <row r="86" hidden="1">
      <c r="A86" s="12" t="str">
        <f>IFERROR(__xludf.DUMMYFUNCTION("""COMPUTED_VALUE"""),"2247ea809c4b3069265b106b3819af19")</f>
        <v>2247ea809c4b3069265b106b3819af19</v>
      </c>
      <c r="B86" s="12" t="str">
        <f>IFERROR(__xludf.DUMMYFUNCTION("""COMPUTED_VALUE"""),"However, both face a number of challenges in implementation including the establishment 0/effective targets. The purpose of this chapter is to explore the opportunities, challenges and important considerations faced by policy makers when setting and imple"&amp;"menting SMM-related targets. Finland attributes waste management improvements to changes in EU legislation, specifically stricter waste management standards and requirements.")</f>
        <v>However, both face a number of challenges in implementation including the establishment 0/effective targets. The purpose of this chapter is to explore the opportunities, challenges and important considerations faced by policy makers when setting and implementing SMM-related targets. Finland attributes waste management improvements to changes in EU legislation, specifically stricter waste management standards and requirements.</v>
      </c>
      <c r="C86" s="7" t="s">
        <v>439</v>
      </c>
      <c r="D86" s="49" t="b">
        <f t="shared" ref="D86:H86" si="177">VLOOKUP($A86, INDIRECT(D$1&amp;"!A:C"), 3, FALSE)</f>
        <v>0</v>
      </c>
      <c r="E86" s="49" t="b">
        <f t="shared" si="177"/>
        <v>1</v>
      </c>
      <c r="F86" s="49" t="str">
        <f t="shared" si="177"/>
        <v>TO DO</v>
      </c>
      <c r="G86" s="49" t="str">
        <f t="shared" si="177"/>
        <v>TO DO</v>
      </c>
      <c r="H86" s="49" t="b">
        <f t="shared" si="177"/>
        <v>1</v>
      </c>
      <c r="I86" s="50">
        <f t="shared" si="4"/>
        <v>0.3333333333</v>
      </c>
      <c r="J86" s="51" t="str">
        <f t="shared" ref="J86:N86" si="178">VLOOKUP($A86, INDIRECT(J$1&amp;"!A:D"), 4, FALSE)</f>
        <v/>
      </c>
      <c r="K86" s="51" t="str">
        <f t="shared" si="178"/>
        <v/>
      </c>
      <c r="L86" s="51" t="str">
        <f t="shared" si="178"/>
        <v/>
      </c>
      <c r="M86" s="51" t="str">
        <f t="shared" si="178"/>
        <v/>
      </c>
      <c r="N86" s="51" t="str">
        <f t="shared" si="178"/>
        <v/>
      </c>
      <c r="O86" s="50" t="str">
        <f>IFERROR(__xludf.DUMMYFUNCTION("IF(COUNTA(J86:N86)=0, """", ARRAYFORMULA(""- ""&amp;TEXTJOIN(char(10)&amp;""- "", TRUE, FILTER(J$1:N$1&amp;"": ""&amp;J86:N86, NOT(ISBLANK(J86:N86))))))"),"")</f>
        <v/>
      </c>
      <c r="P86" s="50" t="s">
        <v>432</v>
      </c>
      <c r="Q86" s="52" t="str">
        <f t="shared" si="150"/>
        <v>UNDECIDED</v>
      </c>
      <c r="R86" s="24">
        <f t="shared" si="7"/>
        <v>3</v>
      </c>
    </row>
    <row r="87" hidden="1">
      <c r="A87" s="12" t="str">
        <f>IFERROR(__xludf.DUMMYFUNCTION("""COMPUTED_VALUE"""),"e459110a0e5288867d180b786d5e620a")</f>
        <v>e459110a0e5288867d180b786d5e620a</v>
      </c>
      <c r="B87" s="12" t="str">
        <f>IFERROR(__xludf.DUMMYFUNCTION("""COMPUTED_VALUE"""),"Topics that have both an impact on the organization as well as on its stakeholders are the most material and therefore are discussed in more depth in the sustainability report. Once these topics are selected the company can identify the related indicators"&amp;" and use the GRI protocols to measure the data. Currently the GRI has three application levels, differing from reporting on 10 indicators with particular context information (Level C) to reporting on all material indicators (Level A).")</f>
        <v>Topics that have both an impact on the organization as well as on its stakeholders are the most material and therefore are discussed in more depth in the sustainability report. Once these topics are selected the company can identify the related indicators and use the GRI protocols to measure the data. Currently the GRI has three application levels, differing from reporting on 10 indicators with particular context information (Level C) to reporting on all material indicators (Level A).</v>
      </c>
      <c r="C87" s="7"/>
      <c r="D87" s="49" t="b">
        <f t="shared" ref="D87:H87" si="179">VLOOKUP($A87, INDIRECT(D$1&amp;"!A:C"), 3, FALSE)</f>
        <v>0</v>
      </c>
      <c r="E87" s="49" t="str">
        <f t="shared" si="179"/>
        <v>TO DO</v>
      </c>
      <c r="F87" s="49" t="str">
        <f t="shared" si="179"/>
        <v>TO DO</v>
      </c>
      <c r="G87" s="49" t="str">
        <f t="shared" si="179"/>
        <v>TO DO</v>
      </c>
      <c r="H87" s="49" t="b">
        <f t="shared" si="179"/>
        <v>1</v>
      </c>
      <c r="I87" s="50">
        <f t="shared" si="4"/>
        <v>0</v>
      </c>
      <c r="J87" s="51" t="str">
        <f t="shared" ref="J87:N87" si="180">VLOOKUP($A87, INDIRECT(J$1&amp;"!A:D"), 4, FALSE)</f>
        <v/>
      </c>
      <c r="K87" s="51" t="str">
        <f t="shared" si="180"/>
        <v/>
      </c>
      <c r="L87" s="51" t="str">
        <f t="shared" si="180"/>
        <v/>
      </c>
      <c r="M87" s="51" t="str">
        <f t="shared" si="180"/>
        <v/>
      </c>
      <c r="N87" s="51" t="str">
        <f t="shared" si="180"/>
        <v/>
      </c>
      <c r="O87" s="50" t="str">
        <f>IFERROR(__xludf.DUMMYFUNCTION("IF(COUNTA(J87:N87)=0, """", ARRAYFORMULA(""- ""&amp;TEXTJOIN(char(10)&amp;""- "", TRUE, FILTER(J$1:N$1&amp;"": ""&amp;J87:N87, NOT(ISBLANK(J87:N87))))))"),"")</f>
        <v/>
      </c>
      <c r="P87" s="50" t="s">
        <v>432</v>
      </c>
      <c r="Q87" s="52" t="str">
        <f t="shared" si="150"/>
        <v>UNDECIDED</v>
      </c>
      <c r="R87" s="24">
        <f t="shared" si="7"/>
        <v>2</v>
      </c>
    </row>
    <row r="88" hidden="1">
      <c r="A88" s="12" t="str">
        <f>IFERROR(__xludf.DUMMYFUNCTION("""COMPUTED_VALUE"""),"e4ff2d35f08d2d1acc0d03aa9df6f4b9")</f>
        <v>e4ff2d35f08d2d1acc0d03aa9df6f4b9</v>
      </c>
      <c r="B88" s="12" t="str">
        <f>IFERROR(__xludf.DUMMYFUNCTION("""COMPUTED_VALUE"""),"These challenges include issues of ownership, economic leakage (from the local economy and through imports), local employment, benefit distribution, social and environmental impacts and dependency. These problems can only be effectively addressed at the d"&amp;"estination level with the active participation of the local communities. It summarises by stating that ""The effective development, execution and management of a successful pro-poor tourism strategy reaches far beyond local communities”.")</f>
        <v>These challenges include issues of ownership, economic leakage (from the local economy and through imports), local employment, benefit distribution, social and environmental impacts and dependency. These problems can only be effectively addressed at the destination level with the active participation of the local communities. It summarises by stating that "The effective development, execution and management of a successful pro-poor tourism strategy reaches far beyond local communities”.</v>
      </c>
      <c r="C88" s="54" t="s">
        <v>446</v>
      </c>
      <c r="D88" s="49" t="b">
        <f t="shared" ref="D88:H88" si="181">VLOOKUP($A88, INDIRECT(D$1&amp;"!A:C"), 3, FALSE)</f>
        <v>0</v>
      </c>
      <c r="E88" s="49" t="b">
        <f t="shared" si="181"/>
        <v>1</v>
      </c>
      <c r="F88" s="49" t="str">
        <f t="shared" si="181"/>
        <v>TO DO</v>
      </c>
      <c r="G88" s="49" t="b">
        <f t="shared" si="181"/>
        <v>1</v>
      </c>
      <c r="H88" s="49" t="b">
        <f t="shared" si="181"/>
        <v>0</v>
      </c>
      <c r="I88" s="50">
        <f t="shared" si="4"/>
        <v>0</v>
      </c>
      <c r="J88" s="51" t="str">
        <f t="shared" ref="J88:N88" si="182">VLOOKUP($A88, INDIRECT(J$1&amp;"!A:D"), 4, FALSE)</f>
        <v/>
      </c>
      <c r="K88" s="51" t="str">
        <f t="shared" si="182"/>
        <v>Can be false. The passage states facts on challenges of sustainable tourism but does not directly addressing the goal.</v>
      </c>
      <c r="L88" s="51" t="str">
        <f t="shared" si="182"/>
        <v/>
      </c>
      <c r="M88" s="51" t="str">
        <f t="shared" si="182"/>
        <v/>
      </c>
      <c r="N88" s="51" t="str">
        <f t="shared" si="182"/>
        <v>again not on monitoring</v>
      </c>
      <c r="O88" s="50" t="str">
        <f>IFERROR(__xludf.DUMMYFUNCTION("IF(COUNTA(J88:N88)=0, """", ARRAYFORMULA(""- ""&amp;TEXTJOIN(char(10)&amp;""- "", TRUE, FILTER(J$1:N$1&amp;"": ""&amp;J88:N88, NOT(ISBLANK(J88:N88))))))"),"- Gib: Can be false. The passage states facts on challenges of sustainable tourism but does not directly addressing the goal.
- Steve: again not on monitoring")</f>
        <v>- Gib: Can be false. The passage states facts on challenges of sustainable tourism but does not directly addressing the goal.
- Steve: again not on monitoring</v>
      </c>
      <c r="P88" s="50" t="s">
        <v>474</v>
      </c>
      <c r="Q88" s="52" t="str">
        <f t="shared" si="150"/>
        <v>UNDECIDED</v>
      </c>
      <c r="R88" s="24">
        <f t="shared" si="7"/>
        <v>4</v>
      </c>
    </row>
    <row r="89">
      <c r="A89" s="12" t="str">
        <f>IFERROR(__xludf.DUMMYFUNCTION("""COMPUTED_VALUE"""),"3083f5dee9e6201a9043b765d1c7c644")</f>
        <v>3083f5dee9e6201a9043b765d1c7c644</v>
      </c>
      <c r="B89" s="12" t="str">
        <f>IFERROR(__xludf.DUMMYFUNCTION("""COMPUTED_VALUE"""),"Dr Edward W Manning and T David Dougherty, 2000. The study (Lot 1 Research Capacity) was conducted by PA Government Services under the Caribbean Regional Sustainable Tourism Development Programme (CRSTDP), funded by the 8th European Development Fund (EDF)"&amp;", August 2006. See Reil G Cruz, 2006, 47pp. Also World Bank, Caribbean Country Management Unit, 2005.")</f>
        <v>Dr Edward W Manning and T David Dougherty, 2000. The study (Lot 1 Research Capacity) was conducted by PA Government Services under the Caribbean Regional Sustainable Tourism Development Programme (CRSTDP), funded by the 8th European Development Fund (EDF), August 2006. See Reil G Cruz, 2006, 47pp. Also World Bank, Caribbean Country Management Unit, 2005.</v>
      </c>
      <c r="C89" s="53"/>
      <c r="D89" s="49" t="b">
        <f t="shared" ref="D89:H89" si="183">VLOOKUP($A89, INDIRECT(D$1&amp;"!A:C"), 3, FALSE)</f>
        <v>0</v>
      </c>
      <c r="E89" s="49" t="str">
        <f t="shared" si="183"/>
        <v>TO DO</v>
      </c>
      <c r="F89" s="49" t="str">
        <f t="shared" si="183"/>
        <v>TO DO</v>
      </c>
      <c r="G89" s="49" t="b">
        <f t="shared" si="183"/>
        <v>0</v>
      </c>
      <c r="H89" s="49" t="b">
        <f t="shared" si="183"/>
        <v>0</v>
      </c>
      <c r="I89" s="50">
        <f t="shared" si="4"/>
        <v>1</v>
      </c>
      <c r="J89" s="51" t="str">
        <f t="shared" ref="J89:N89" si="184">VLOOKUP($A89, INDIRECT(J$1&amp;"!A:D"), 4, FALSE)</f>
        <v/>
      </c>
      <c r="K89" s="51" t="str">
        <f t="shared" si="184"/>
        <v/>
      </c>
      <c r="L89" s="51" t="str">
        <f t="shared" si="184"/>
        <v/>
      </c>
      <c r="M89" s="51" t="str">
        <f t="shared" si="184"/>
        <v/>
      </c>
      <c r="N89" s="51" t="str">
        <f t="shared" si="184"/>
        <v>again not on monitoring</v>
      </c>
      <c r="O89" s="50" t="str">
        <f>IFERROR(__xludf.DUMMYFUNCTION("IF(COUNTA(J89:N89)=0, """", ARRAYFORMULA(""- ""&amp;TEXTJOIN(char(10)&amp;""- "", TRUE, FILTER(J$1:N$1&amp;"": ""&amp;J89:N89, NOT(ISBLANK(J89:N89))))))"),"- Steve: again not on monitoring")</f>
        <v>- Steve: again not on monitoring</v>
      </c>
      <c r="P89" s="50" t="s">
        <v>475</v>
      </c>
      <c r="Q89" s="52" t="b">
        <f t="shared" si="150"/>
        <v>0</v>
      </c>
      <c r="R89" s="24">
        <f t="shared" si="7"/>
        <v>3</v>
      </c>
    </row>
    <row r="90" hidden="1">
      <c r="A90" s="12" t="str">
        <f>IFERROR(__xludf.DUMMYFUNCTION("""COMPUTED_VALUE"""),"3174e5f65fdec525ecf8be88f1898329")</f>
        <v>3174e5f65fdec525ecf8be88f1898329</v>
      </c>
      <c r="B90" s="12" t="str">
        <f>IFERROR(__xludf.DUMMYFUNCTION("""COMPUTED_VALUE"""),"These coverage percentages may be compared with the over 30 per cent of land covered by exploration licences in 2008 and the current aim of raising it again to 20 per cent. The Ministry estimates that about 30 per cent of the licensed area is being used, "&amp;"with the remainder idle because of low commodity prices, poor infrastructure or the risk of environmental impact. The number of licences for oil and gas and radioactive minerals is two orders of magnitude lower. Such permits are issued by soum and distric"&amp;"t governors based on the conclusions of NAMEM’s departments at local level.")</f>
        <v>These coverage percentages may be compared with the over 30 per cent of land covered by exploration licences in 2008 and the current aim of raising it again to 20 per cent. The Ministry estimates that about 30 per cent of the licensed area is being used, with the remainder idle because of low commodity prices, poor infrastructure or the risk of environmental impact. The number of licences for oil and gas and radioactive minerals is two orders of magnitude lower. Such permits are issued by soum and district governors based on the conclusions of NAMEM’s departments at local level.</v>
      </c>
      <c r="C90" s="54"/>
      <c r="D90" s="49" t="b">
        <f t="shared" ref="D90:H90" si="185">VLOOKUP($A90, INDIRECT(D$1&amp;"!A:C"), 3, FALSE)</f>
        <v>0</v>
      </c>
      <c r="E90" s="49" t="str">
        <f t="shared" si="185"/>
        <v>TO DO</v>
      </c>
      <c r="F90" s="49" t="str">
        <f t="shared" si="185"/>
        <v>TO DO</v>
      </c>
      <c r="G90" s="49" t="str">
        <f t="shared" si="185"/>
        <v>TO DO</v>
      </c>
      <c r="H90" s="49" t="b">
        <f t="shared" si="185"/>
        <v>1</v>
      </c>
      <c r="I90" s="50">
        <f t="shared" si="4"/>
        <v>0</v>
      </c>
      <c r="J90" s="51" t="str">
        <f t="shared" ref="J90:N90" si="186">VLOOKUP($A90, INDIRECT(J$1&amp;"!A:D"), 4, FALSE)</f>
        <v/>
      </c>
      <c r="K90" s="51" t="str">
        <f t="shared" si="186"/>
        <v/>
      </c>
      <c r="L90" s="51" t="str">
        <f t="shared" si="186"/>
        <v/>
      </c>
      <c r="M90" s="51" t="str">
        <f t="shared" si="186"/>
        <v/>
      </c>
      <c r="N90" s="51" t="str">
        <f t="shared" si="186"/>
        <v/>
      </c>
      <c r="O90" s="50" t="str">
        <f>IFERROR(__xludf.DUMMYFUNCTION("IF(COUNTA(J90:N90)=0, """", ARRAYFORMULA(""- ""&amp;TEXTJOIN(char(10)&amp;""- "", TRUE, FILTER(J$1:N$1&amp;"": ""&amp;J90:N90, NOT(ISBLANK(J90:N90))))))"),"")</f>
        <v/>
      </c>
      <c r="P90" s="50" t="s">
        <v>432</v>
      </c>
      <c r="Q90" s="52" t="str">
        <f t="shared" si="150"/>
        <v>UNDECIDED</v>
      </c>
      <c r="R90" s="24">
        <f t="shared" si="7"/>
        <v>2</v>
      </c>
    </row>
    <row r="91">
      <c r="A91" s="12" t="str">
        <f>IFERROR(__xludf.DUMMYFUNCTION("""COMPUTED_VALUE"""),"37a02127ec1fb10fd005080ea6671271")</f>
        <v>37a02127ec1fb10fd005080ea6671271</v>
      </c>
      <c r="B91" s="12" t="str">
        <f>IFERROR(__xludf.DUMMYFUNCTION("""COMPUTED_VALUE"""),"Many countries have modernised their societies and economies enabling the greatest level of material wellbeing ever experienced. These changes were most prevalent in OECD countries and in urban centres in developing countries. The use of natural resources"&amp;" -biomass, fossil fuels, ores, minerals and water - has grown dramatically from less than 10 billion tonnes in 1950 to over 70 billion tonnes in 2010 (UNEP, 2011). This level of resource use was largely based on the assumption of limitless resources and o"&amp;"verlooked the connections between resource use and environmental impacts.")</f>
        <v>Many countries have modernised their societies and economies enabling the greatest level of material wellbeing ever experienced. These changes were most prevalent in OECD countries and in urban centres in developing countries. The use of natural resources -biomass, fossil fuels, ores, minerals and water - has grown dramatically from less than 10 billion tonnes in 1950 to over 70 billion tonnes in 2010 (UNEP, 2011). This level of resource use was largely based on the assumption of limitless resources and overlooked the connections between resource use and environmental impacts.</v>
      </c>
      <c r="C91" s="54"/>
      <c r="D91" s="49" t="b">
        <f t="shared" ref="D91:H91" si="187">VLOOKUP($A91, INDIRECT(D$1&amp;"!A:C"), 3, FALSE)</f>
        <v>1</v>
      </c>
      <c r="E91" s="49" t="str">
        <f t="shared" si="187"/>
        <v>TO DO</v>
      </c>
      <c r="F91" s="49" t="str">
        <f t="shared" si="187"/>
        <v>TO DO</v>
      </c>
      <c r="G91" s="49" t="b">
        <f t="shared" si="187"/>
        <v>1</v>
      </c>
      <c r="H91" s="49" t="b">
        <f t="shared" si="187"/>
        <v>1</v>
      </c>
      <c r="I91" s="50">
        <f t="shared" si="4"/>
        <v>1</v>
      </c>
      <c r="J91" s="51" t="str">
        <f t="shared" ref="J91:N91" si="188">VLOOKUP($A91, INDIRECT(J$1&amp;"!A:D"), 4, FALSE)</f>
        <v/>
      </c>
      <c r="K91" s="51" t="str">
        <f t="shared" si="188"/>
        <v/>
      </c>
      <c r="L91" s="51" t="str">
        <f t="shared" si="188"/>
        <v/>
      </c>
      <c r="M91" s="51" t="str">
        <f t="shared" si="188"/>
        <v/>
      </c>
      <c r="N91" s="51" t="str">
        <f t="shared" si="188"/>
        <v/>
      </c>
      <c r="O91" s="50" t="str">
        <f>IFERROR(__xludf.DUMMYFUNCTION("IF(COUNTA(J91:N91)=0, """", ARRAYFORMULA(""- ""&amp;TEXTJOIN(char(10)&amp;""- "", TRUE, FILTER(J$1:N$1&amp;"": ""&amp;J91:N91, NOT(ISBLANK(J91:N91))))))"),"")</f>
        <v/>
      </c>
      <c r="P91" s="50" t="s">
        <v>432</v>
      </c>
      <c r="Q91" s="52" t="b">
        <f t="shared" si="150"/>
        <v>1</v>
      </c>
      <c r="R91" s="24">
        <f t="shared" si="7"/>
        <v>3</v>
      </c>
    </row>
    <row r="92">
      <c r="A92" s="12" t="str">
        <f>IFERROR(__xludf.DUMMYFUNCTION("""COMPUTED_VALUE"""),"ea3c7154e3fd84c3e502a9219b2e3cc8")</f>
        <v>ea3c7154e3fd84c3e502a9219b2e3cc8</v>
      </c>
      <c r="B92" s="12" t="str">
        <f>IFERROR(__xludf.DUMMYFUNCTION("""COMPUTED_VALUE"""),"However, it does not include information on when licences are applied for (while providing the date of issue), nor on the reasons for and conditions on the numerous licence transfers. There is also a problem at present with accessing the area covered by p"&amp;"etroleum licences in the Ministry of Mining and Heavy Industry database. In addition, the Ministry of Environment and Tourism is not providing the most recent data on receipts to its special fund for mining rehabilitation, arguing that this is not permitt"&amp;"ed by banking legislation. Further, though licence holders provide information to the EITI, they are often unwilling to present the same information on their own websites, thus reducing transparency.")</f>
        <v>However, it does not include information on when licences are applied for (while providing the date of issue), nor on the reasons for and conditions on the numerous licence transfers. There is also a problem at present with accessing the area covered by petroleum licences in the Ministry of Mining and Heavy Industry database. In addition, the Ministry of Environment and Tourism is not providing the most recent data on receipts to its special fund for mining rehabilitation, arguing that this is not permitted by banking legislation. Further, though licence holders provide information to the EITI, they are often unwilling to present the same information on their own websites, thus reducing transparency.</v>
      </c>
      <c r="C92" s="49"/>
      <c r="D92" s="49" t="b">
        <f t="shared" ref="D92:H92" si="189">VLOOKUP($A92, INDIRECT(D$1&amp;"!A:C"), 3, FALSE)</f>
        <v>0</v>
      </c>
      <c r="E92" s="49" t="str">
        <f t="shared" si="189"/>
        <v>TO DO</v>
      </c>
      <c r="F92" s="49" t="str">
        <f t="shared" si="189"/>
        <v>TO DO</v>
      </c>
      <c r="G92" s="49" t="b">
        <f t="shared" si="189"/>
        <v>0</v>
      </c>
      <c r="H92" s="49" t="b">
        <f t="shared" si="189"/>
        <v>0</v>
      </c>
      <c r="I92" s="50">
        <f t="shared" si="4"/>
        <v>1</v>
      </c>
      <c r="J92" s="51" t="str">
        <f t="shared" ref="J92:N92" si="190">VLOOKUP($A92, INDIRECT(J$1&amp;"!A:D"), 4, FALSE)</f>
        <v/>
      </c>
      <c r="K92" s="51" t="str">
        <f t="shared" si="190"/>
        <v/>
      </c>
      <c r="L92" s="51" t="str">
        <f t="shared" si="190"/>
        <v/>
      </c>
      <c r="M92" s="51" t="str">
        <f t="shared" si="190"/>
        <v/>
      </c>
      <c r="N92" s="51" t="str">
        <f t="shared" si="190"/>
        <v/>
      </c>
      <c r="O92" s="50" t="str">
        <f>IFERROR(__xludf.DUMMYFUNCTION("IF(COUNTA(J92:N92)=0, """", ARRAYFORMULA(""- ""&amp;TEXTJOIN(char(10)&amp;""- "", TRUE, FILTER(J$1:N$1&amp;"": ""&amp;J92:N92, NOT(ISBLANK(J92:N92))))))"),"")</f>
        <v/>
      </c>
      <c r="P92" s="50" t="s">
        <v>432</v>
      </c>
      <c r="Q92" s="52" t="b">
        <f t="shared" si="150"/>
        <v>0</v>
      </c>
      <c r="R92" s="24">
        <f t="shared" si="7"/>
        <v>3</v>
      </c>
    </row>
    <row r="93">
      <c r="A93" s="12" t="str">
        <f>IFERROR(__xludf.DUMMYFUNCTION("""COMPUTED_VALUE"""),"62694a749fb81e3268ea0ffba0de1e95")</f>
        <v>62694a749fb81e3268ea0ffba0de1e95</v>
      </c>
      <c r="B93" s="12" t="str">
        <f>IFERROR(__xludf.DUMMYFUNCTION("""COMPUTED_VALUE"""),"The ways in which the tourists value different aspects of the surroundings are also influenced by experiences made during the visit. To the extent that information, interpretation and education do not have a sufficient influence on peoples' actual behavio"&amp;"ur, co-creation initiatives are proposed as a more efficient way of transferring responsibility to visitors (Campos, Mendes, Valle, and Scott, 2015, Prebensen, Vitterso, and Dahl, 2013). Co-creation implies that the tourists participate in the design, pro"&amp;"duction and consumption of an experience, even collaborating in the creation of new products and services (Binkhorst and Dekker, 2009).")</f>
        <v>The ways in which the tourists value different aspects of the surroundings are also influenced by experiences made during the visit. To the extent that information, interpretation and education do not have a sufficient influence on peoples' actual behaviour, co-creation initiatives are proposed as a more efficient way of transferring responsibility to visitors (Campos, Mendes, Valle, and Scott, 2015, Prebensen, Vitterso, and Dahl, 2013). Co-creation implies that the tourists participate in the design, production and consumption of an experience, even collaborating in the creation of new products and services (Binkhorst and Dekker, 2009).</v>
      </c>
      <c r="C93" s="7"/>
      <c r="D93" s="49" t="b">
        <f t="shared" ref="D93:H93" si="191">VLOOKUP($A93, INDIRECT(D$1&amp;"!A:C"), 3, FALSE)</f>
        <v>0</v>
      </c>
      <c r="E93" s="49" t="str">
        <f t="shared" si="191"/>
        <v>TO DO</v>
      </c>
      <c r="F93" s="49" t="str">
        <f t="shared" si="191"/>
        <v>TO DO</v>
      </c>
      <c r="G93" s="49" t="b">
        <f t="shared" si="191"/>
        <v>0</v>
      </c>
      <c r="H93" s="49" t="b">
        <f t="shared" si="191"/>
        <v>0</v>
      </c>
      <c r="I93" s="50">
        <f t="shared" si="4"/>
        <v>1</v>
      </c>
      <c r="J93" s="51" t="str">
        <f t="shared" ref="J93:N93" si="192">VLOOKUP($A93, INDIRECT(J$1&amp;"!A:D"), 4, FALSE)</f>
        <v/>
      </c>
      <c r="K93" s="51" t="str">
        <f t="shared" si="192"/>
        <v/>
      </c>
      <c r="L93" s="51" t="str">
        <f t="shared" si="192"/>
        <v/>
      </c>
      <c r="M93" s="51" t="str">
        <f t="shared" si="192"/>
        <v/>
      </c>
      <c r="N93" s="51" t="str">
        <f t="shared" si="192"/>
        <v>not on monitoring tools for tourism</v>
      </c>
      <c r="O93" s="50" t="str">
        <f>IFERROR(__xludf.DUMMYFUNCTION("IF(COUNTA(J93:N93)=0, """", ARRAYFORMULA(""- ""&amp;TEXTJOIN(char(10)&amp;""- "", TRUE, FILTER(J$1:N$1&amp;"": ""&amp;J93:N93, NOT(ISBLANK(J93:N93))))))"),"- Steve: not on monitoring tools for tourism")</f>
        <v>- Steve: not on monitoring tools for tourism</v>
      </c>
      <c r="P93" s="50" t="s">
        <v>476</v>
      </c>
      <c r="Q93" s="52" t="b">
        <f t="shared" si="150"/>
        <v>0</v>
      </c>
      <c r="R93" s="24">
        <f t="shared" si="7"/>
        <v>3</v>
      </c>
    </row>
    <row r="94">
      <c r="A94" s="12" t="str">
        <f>IFERROR(__xludf.DUMMYFUNCTION("""COMPUTED_VALUE"""),"759b95e2698c40e89242d61169ef6b4d")</f>
        <v>759b95e2698c40e89242d61169ef6b4d</v>
      </c>
      <c r="B94" s="12" t="str">
        <f>IFERROR(__xludf.DUMMYFUNCTION("""COMPUTED_VALUE"""),"We have not been able to get a clear answer from the responsible person at Teijin, and in the basic scenario it was therefore chosen to use a conservative approach, assuming a low yield of the process. For climate change, the increased efficiency means th"&amp;"at there is a net benefit instead of an impact. The same finding is seen for human toxicity, cancer effects.")</f>
        <v>We have not been able to get a clear answer from the responsible person at Teijin, and in the basic scenario it was therefore chosen to use a conservative approach, assuming a low yield of the process. For climate change, the increased efficiency means that there is a net benefit instead of an impact. The same finding is seen for human toxicity, cancer effects.</v>
      </c>
      <c r="C94" s="7" t="s">
        <v>451</v>
      </c>
      <c r="D94" s="49" t="b">
        <f t="shared" ref="D94:H94" si="193">VLOOKUP($A94, INDIRECT(D$1&amp;"!A:C"), 3, FALSE)</f>
        <v>0</v>
      </c>
      <c r="E94" s="49" t="b">
        <f t="shared" si="193"/>
        <v>0</v>
      </c>
      <c r="F94" s="49" t="str">
        <f t="shared" si="193"/>
        <v>TO DO</v>
      </c>
      <c r="G94" s="49" t="b">
        <f t="shared" si="193"/>
        <v>1</v>
      </c>
      <c r="H94" s="49" t="b">
        <f t="shared" si="193"/>
        <v>0</v>
      </c>
      <c r="I94" s="50">
        <f t="shared" si="4"/>
        <v>0.5</v>
      </c>
      <c r="J94" s="51" t="str">
        <f t="shared" ref="J94:N94" si="194">VLOOKUP($A94, INDIRECT(J$1&amp;"!A:D"), 4, FALSE)</f>
        <v/>
      </c>
      <c r="K94" s="51" t="str">
        <f t="shared" si="194"/>
        <v/>
      </c>
      <c r="L94" s="51" t="str">
        <f t="shared" si="194"/>
        <v/>
      </c>
      <c r="M94" s="51" t="str">
        <f t="shared" si="194"/>
        <v/>
      </c>
      <c r="N94" s="51" t="str">
        <f t="shared" si="194"/>
        <v/>
      </c>
      <c r="O94" s="50" t="str">
        <f>IFERROR(__xludf.DUMMYFUNCTION("IF(COUNTA(J94:N94)=0, """", ARRAYFORMULA(""- ""&amp;TEXTJOIN(char(10)&amp;""- "", TRUE, FILTER(J$1:N$1&amp;"": ""&amp;J94:N94, NOT(ISBLANK(J94:N94))))))"),"")</f>
        <v/>
      </c>
      <c r="P94" s="50" t="s">
        <v>432</v>
      </c>
      <c r="Q94" s="52" t="b">
        <v>0</v>
      </c>
      <c r="R94" s="24">
        <f t="shared" si="7"/>
        <v>4</v>
      </c>
      <c r="S94" s="5" t="s">
        <v>450</v>
      </c>
    </row>
    <row r="95">
      <c r="A95" s="12" t="str">
        <f>IFERROR(__xludf.DUMMYFUNCTION("""COMPUTED_VALUE"""),"eeccafbe1d2736fec1608bfebb02b882")</f>
        <v>eeccafbe1d2736fec1608bfebb02b882</v>
      </c>
      <c r="B95" s="12" t="str">
        <f>IFERROR(__xludf.DUMMYFUNCTION("""COMPUTED_VALUE"""),"Between 2000 and 2008, Japan’s economy grew by about 1.3% annually, a rate below the OECD average (about 2% per year). As a result of the global economic slowdown of 2008, the Japanese economy contracted sharply, and w'as dragged into the deepest recessio"&amp;"n since the Second World War (Section 2). Similarly, the OECD Europe aggregate does not include Estonia and Slovenia. In 2009, Japan’s GDP per capita in purchasing power parity was USD 29 800 and the OECD average was USD 30 500.")</f>
        <v>Between 2000 and 2008, Japan’s economy grew by about 1.3% annually, a rate below the OECD average (about 2% per year). As a result of the global economic slowdown of 2008, the Japanese economy contracted sharply, and w'as dragged into the deepest recession since the Second World War (Section 2). Similarly, the OECD Europe aggregate does not include Estonia and Slovenia. In 2009, Japan’s GDP per capita in purchasing power parity was USD 29 800 and the OECD average was USD 30 500.</v>
      </c>
      <c r="C95" s="7"/>
      <c r="D95" s="49" t="b">
        <f t="shared" ref="D95:H95" si="195">VLOOKUP($A95, INDIRECT(D$1&amp;"!A:C"), 3, FALSE)</f>
        <v>0</v>
      </c>
      <c r="E95" s="49" t="str">
        <f t="shared" si="195"/>
        <v>TO DO</v>
      </c>
      <c r="F95" s="49" t="str">
        <f t="shared" si="195"/>
        <v>TO DO</v>
      </c>
      <c r="G95" s="49" t="b">
        <f t="shared" si="195"/>
        <v>0</v>
      </c>
      <c r="H95" s="49" t="b">
        <f t="shared" si="195"/>
        <v>0</v>
      </c>
      <c r="I95" s="50">
        <f t="shared" si="4"/>
        <v>1</v>
      </c>
      <c r="J95" s="51" t="str">
        <f t="shared" ref="J95:N95" si="196">VLOOKUP($A95, INDIRECT(J$1&amp;"!A:D"), 4, FALSE)</f>
        <v/>
      </c>
      <c r="K95" s="51" t="str">
        <f t="shared" si="196"/>
        <v/>
      </c>
      <c r="L95" s="51" t="str">
        <f t="shared" si="196"/>
        <v/>
      </c>
      <c r="M95" s="51" t="str">
        <f t="shared" si="196"/>
        <v/>
      </c>
      <c r="N95" s="51" t="str">
        <f t="shared" si="196"/>
        <v/>
      </c>
      <c r="O95" s="50" t="str">
        <f>IFERROR(__xludf.DUMMYFUNCTION("IF(COUNTA(J95:N95)=0, """", ARRAYFORMULA(""- ""&amp;TEXTJOIN(char(10)&amp;""- "", TRUE, FILTER(J$1:N$1&amp;"": ""&amp;J95:N95, NOT(ISBLANK(J95:N95))))))"),"")</f>
        <v/>
      </c>
      <c r="P95" s="50" t="s">
        <v>432</v>
      </c>
      <c r="Q95" s="52" t="b">
        <f t="shared" ref="Q95:Q97" si="199">IF(I95=1, D95, "UNDECIDED")</f>
        <v>0</v>
      </c>
      <c r="R95" s="24">
        <f t="shared" si="7"/>
        <v>3</v>
      </c>
    </row>
    <row r="96">
      <c r="A96" s="12" t="str">
        <f>IFERROR(__xludf.DUMMYFUNCTION("""COMPUTED_VALUE"""),"f25d81a6f6dd57b990eb23725cf894a1")</f>
        <v>f25d81a6f6dd57b990eb23725cf894a1</v>
      </c>
      <c r="B96" s="12" t="str">
        <f>IFERROR(__xludf.DUMMYFUNCTION("""COMPUTED_VALUE"""),"Today, the dominant research on the effect of the educational systems and approaches related to sustainable development clearly favours impact on the individuals (as opposed to organisations and communities) and formal education (as opposed to non-formal "&amp;"and informal learning). In the modern world characterised by accelerated changes, lack of predictability and multiple economic, financial and environmental crises, different forms of knowledge and learning become a necessity. Even sectors that for a long "&amp;"time adhered to traditional ways of doing things, find themselves in need to adapt to the constant demand for (at least partial) transformation.")</f>
        <v>Today, the dominant research on the effect of the educational systems and approaches related to sustainable development clearly favours impact on the individuals (as opposed to organisations and communities) and formal education (as opposed to non-formal and informal learning). In the modern world characterised by accelerated changes, lack of predictability and multiple economic, financial and environmental crises, different forms of knowledge and learning become a necessity. Even sectors that for a long time adhered to traditional ways of doing things, find themselves in need to adapt to the constant demand for (at least partial) transformation.</v>
      </c>
      <c r="C96" s="54"/>
      <c r="D96" s="49" t="b">
        <f t="shared" ref="D96:H96" si="197">VLOOKUP($A96, INDIRECT(D$1&amp;"!A:C"), 3, FALSE)</f>
        <v>0</v>
      </c>
      <c r="E96" s="49" t="b">
        <f t="shared" si="197"/>
        <v>0</v>
      </c>
      <c r="F96" s="49" t="str">
        <f t="shared" si="197"/>
        <v>TO DO</v>
      </c>
      <c r="G96" s="49" t="str">
        <f t="shared" si="197"/>
        <v>TO DO</v>
      </c>
      <c r="H96" s="49" t="b">
        <f t="shared" si="197"/>
        <v>0</v>
      </c>
      <c r="I96" s="50">
        <f t="shared" si="4"/>
        <v>1</v>
      </c>
      <c r="J96" s="51" t="str">
        <f t="shared" ref="J96:N96" si="198">VLOOKUP($A96, INDIRECT(J$1&amp;"!A:D"), 4, FALSE)</f>
        <v/>
      </c>
      <c r="K96" s="51" t="str">
        <f t="shared" si="198"/>
        <v/>
      </c>
      <c r="L96" s="51" t="str">
        <f t="shared" si="198"/>
        <v/>
      </c>
      <c r="M96" s="51" t="str">
        <f t="shared" si="198"/>
        <v/>
      </c>
      <c r="N96" s="51" t="str">
        <f t="shared" si="198"/>
        <v>somehow on awareness and sustainable lifestyles but not so clear</v>
      </c>
      <c r="O96" s="50" t="str">
        <f>IFERROR(__xludf.DUMMYFUNCTION("IF(COUNTA(J96:N96)=0, """", ARRAYFORMULA(""- ""&amp;TEXTJOIN(char(10)&amp;""- "", TRUE, FILTER(J$1:N$1&amp;"": ""&amp;J96:N96, NOT(ISBLANK(J96:N96))))))"),"- Steve: somehow on awareness and sustainable lifestyles but not so clear")</f>
        <v>- Steve: somehow on awareness and sustainable lifestyles but not so clear</v>
      </c>
      <c r="P96" s="50" t="s">
        <v>477</v>
      </c>
      <c r="Q96" s="52" t="b">
        <f t="shared" si="199"/>
        <v>0</v>
      </c>
      <c r="R96" s="24">
        <f t="shared" si="7"/>
        <v>3</v>
      </c>
    </row>
    <row r="97" hidden="1">
      <c r="A97" s="12" t="str">
        <f>IFERROR(__xludf.DUMMYFUNCTION("""COMPUTED_VALUE"""),"ca472909daa94e1ce61c174548d7198d")</f>
        <v>ca472909daa94e1ce61c174548d7198d</v>
      </c>
      <c r="B97" s="12" t="str">
        <f>IFERROR(__xludf.DUMMYFUNCTION("""COMPUTED_VALUE"""),"Jamaica has a small but active group of ENGOs that are advocates for the green economy. Some of their voices have acquired national recognition and respect, and can no longer be ignored by policy-makers. Since the Earth Summit in 1992, there have been sev"&amp;"eral civil society organisations12 that have kept the pressure on the Government of Jamaica to honour its commitments to sustainable development in general, and to the various multilateral environmental agreements.")</f>
        <v>Jamaica has a small but active group of ENGOs that are advocates for the green economy. Some of their voices have acquired national recognition and respect, and can no longer be ignored by policy-makers. Since the Earth Summit in 1992, there have been several civil society organisations12 that have kept the pressure on the Government of Jamaica to honour its commitments to sustainable development in general, and to the various multilateral environmental agreements.</v>
      </c>
      <c r="C97" s="53"/>
      <c r="D97" s="49" t="b">
        <f t="shared" ref="D97:H97" si="200">VLOOKUP($A97, INDIRECT(D$1&amp;"!A:C"), 3, FALSE)</f>
        <v>0</v>
      </c>
      <c r="E97" s="49" t="str">
        <f t="shared" si="200"/>
        <v>TO DO</v>
      </c>
      <c r="F97" s="49" t="str">
        <f t="shared" si="200"/>
        <v>TO DO</v>
      </c>
      <c r="G97" s="49" t="str">
        <f t="shared" si="200"/>
        <v>TO DO</v>
      </c>
      <c r="H97" s="49" t="str">
        <f t="shared" si="200"/>
        <v>TO DO</v>
      </c>
      <c r="I97" s="50">
        <f t="shared" si="4"/>
        <v>1</v>
      </c>
      <c r="J97" s="51" t="str">
        <f t="shared" ref="J97:N97" si="201">VLOOKUP($A97, INDIRECT(J$1&amp;"!A:D"), 4, FALSE)</f>
        <v/>
      </c>
      <c r="K97" s="51" t="str">
        <f t="shared" si="201"/>
        <v/>
      </c>
      <c r="L97" s="51" t="str">
        <f t="shared" si="201"/>
        <v/>
      </c>
      <c r="M97" s="51" t="str">
        <f t="shared" si="201"/>
        <v/>
      </c>
      <c r="N97" s="51" t="str">
        <f t="shared" si="201"/>
        <v/>
      </c>
      <c r="O97" s="50" t="str">
        <f>IFERROR(__xludf.DUMMYFUNCTION("IF(COUNTA(J97:N97)=0, """", ARRAYFORMULA(""- ""&amp;TEXTJOIN(char(10)&amp;""- "", TRUE, FILTER(J$1:N$1&amp;"": ""&amp;J97:N97, NOT(ISBLANK(J97:N97))))))"),"")</f>
        <v/>
      </c>
      <c r="P97" s="50" t="s">
        <v>432</v>
      </c>
      <c r="Q97" s="52" t="b">
        <f t="shared" si="199"/>
        <v>0</v>
      </c>
      <c r="R97" s="24">
        <f t="shared" si="7"/>
        <v>1</v>
      </c>
    </row>
    <row r="98">
      <c r="A98" s="12" t="str">
        <f>IFERROR(__xludf.DUMMYFUNCTION("""COMPUTED_VALUE"""),"ce798611bb26ebcb1fd0887f02a72387")</f>
        <v>ce798611bb26ebcb1fd0887f02a72387</v>
      </c>
      <c r="B98" s="12" t="str">
        <f>IFERROR(__xludf.DUMMYFUNCTION("""COMPUTED_VALUE"""),"Some of the chemical applications to control weeds and pests on the plantations have run off from rain into the rivers and transferred to the inshore, especially the main harbour in Kingston. In other cases, chemicals have soaked through the soil into und"&amp;"erground aquifers. This is particularly true of the acidic waste from the processing of bauxite ore, which is deposited in lakes of red mud.")</f>
        <v>Some of the chemical applications to control weeds and pests on the plantations have run off from rain into the rivers and transferred to the inshore, especially the main harbour in Kingston. In other cases, chemicals have soaked through the soil into underground aquifers. This is particularly true of the acidic waste from the processing of bauxite ore, which is deposited in lakes of red mud.</v>
      </c>
      <c r="C98" s="54" t="s">
        <v>451</v>
      </c>
      <c r="D98" s="49" t="b">
        <f t="shared" ref="D98:H98" si="202">VLOOKUP($A98, INDIRECT(D$1&amp;"!A:C"), 3, FALSE)</f>
        <v>0</v>
      </c>
      <c r="E98" s="49" t="b">
        <f t="shared" si="202"/>
        <v>1</v>
      </c>
      <c r="F98" s="49" t="str">
        <f t="shared" si="202"/>
        <v>TO DO</v>
      </c>
      <c r="G98" s="49" t="b">
        <f t="shared" si="202"/>
        <v>1</v>
      </c>
      <c r="H98" s="49" t="b">
        <f t="shared" si="202"/>
        <v>1</v>
      </c>
      <c r="I98" s="50">
        <f t="shared" si="4"/>
        <v>0.5</v>
      </c>
      <c r="J98" s="51" t="str">
        <f t="shared" ref="J98:N98" si="203">VLOOKUP($A98, INDIRECT(J$1&amp;"!A:D"), 4, FALSE)</f>
        <v/>
      </c>
      <c r="K98" s="51" t="str">
        <f t="shared" si="203"/>
        <v>Information about the situation</v>
      </c>
      <c r="L98" s="51" t="str">
        <f t="shared" si="203"/>
        <v/>
      </c>
      <c r="M98" s="51" t="str">
        <f t="shared" si="203"/>
        <v/>
      </c>
      <c r="N98" s="51" t="str">
        <f t="shared" si="203"/>
        <v/>
      </c>
      <c r="O98" s="50" t="str">
        <f>IFERROR(__xludf.DUMMYFUNCTION("IF(COUNTA(J98:N98)=0, """", ARRAYFORMULA(""- ""&amp;TEXTJOIN(char(10)&amp;""- "", TRUE, FILTER(J$1:N$1&amp;"": ""&amp;J98:N98, NOT(ISBLANK(J98:N98))))))"),"- Gib: Information about the situation")</f>
        <v>- Gib: Information about the situation</v>
      </c>
      <c r="P98" s="50" t="s">
        <v>478</v>
      </c>
      <c r="Q98" s="52" t="b">
        <v>1</v>
      </c>
      <c r="R98" s="24">
        <f t="shared" si="7"/>
        <v>4</v>
      </c>
      <c r="S98" s="5" t="s">
        <v>479</v>
      </c>
    </row>
    <row r="99">
      <c r="A99" s="12" t="str">
        <f>IFERROR(__xludf.DUMMYFUNCTION("""COMPUTED_VALUE"""),"f0d7085f21c4e88d7448e29c10b34cee")</f>
        <v>f0d7085f21c4e88d7448e29c10b34cee</v>
      </c>
      <c r="B99" s="12" t="str">
        <f>IFERROR(__xludf.DUMMYFUNCTION("""COMPUTED_VALUE"""),"This trend has been boosted by market liberalization and augmented by convergence, new technologies and resultant innovations such as mobile phones which continue to be the most rapidly adopted technology in history. While sector growth has been experienc"&amp;"ed worldwide, the impact has been exponential in developing countries. Today the mobile phone is the most popular and widespread personal communication technology on the planet, with an estimated average subscription world rate of 87 per 100 inhabitants i"&amp;"n 20111.")</f>
        <v>This trend has been boosted by market liberalization and augmented by convergence, new technologies and resultant innovations such as mobile phones which continue to be the most rapidly adopted technology in history. While sector growth has been experienced worldwide, the impact has been exponential in developing countries. Today the mobile phone is the most popular and widespread personal communication technology on the planet, with an estimated average subscription world rate of 87 per 100 inhabitants in 20111.</v>
      </c>
      <c r="C99" s="53"/>
      <c r="D99" s="49" t="b">
        <f t="shared" ref="D99:H99" si="204">VLOOKUP($A99, INDIRECT(D$1&amp;"!A:C"), 3, FALSE)</f>
        <v>0</v>
      </c>
      <c r="E99" s="49" t="b">
        <f t="shared" si="204"/>
        <v>0</v>
      </c>
      <c r="F99" s="49" t="str">
        <f t="shared" si="204"/>
        <v>TO DO</v>
      </c>
      <c r="G99" s="49" t="str">
        <f t="shared" si="204"/>
        <v>TO DO</v>
      </c>
      <c r="H99" s="49" t="b">
        <f t="shared" si="204"/>
        <v>0</v>
      </c>
      <c r="I99" s="50">
        <f t="shared" si="4"/>
        <v>1</v>
      </c>
      <c r="J99" s="51" t="str">
        <f t="shared" ref="J99:N99" si="205">VLOOKUP($A99, INDIRECT(J$1&amp;"!A:D"), 4, FALSE)</f>
        <v/>
      </c>
      <c r="K99" s="51" t="str">
        <f t="shared" si="205"/>
        <v>Could be SDG 12 if we were to consider mobile phone owning as "consumption". But this passage just states facts and is most likely not about reclycling mobile phone. </v>
      </c>
      <c r="L99" s="51" t="str">
        <f t="shared" si="205"/>
        <v/>
      </c>
      <c r="M99" s="51" t="str">
        <f t="shared" si="205"/>
        <v/>
      </c>
      <c r="N99" s="51" t="str">
        <f t="shared" si="205"/>
        <v/>
      </c>
      <c r="O99" s="50" t="str">
        <f>IFERROR(__xludf.DUMMYFUNCTION("IF(COUNTA(J99:N99)=0, """", ARRAYFORMULA(""- ""&amp;TEXTJOIN(char(10)&amp;""- "", TRUE, FILTER(J$1:N$1&amp;"": ""&amp;J99:N99, NOT(ISBLANK(J99:N99))))))"),"- Gib: Could be SDG 12 if we were to consider mobile phone owning as ""consumption"". But this passage just states facts and is most likely not about reclycling mobile phone. ")</f>
        <v>- Gib: Could be SDG 12 if we were to consider mobile phone owning as "consumption". But this passage just states facts and is most likely not about reclycling mobile phone. </v>
      </c>
      <c r="P99" s="50" t="s">
        <v>480</v>
      </c>
      <c r="Q99" s="52" t="b">
        <f t="shared" ref="Q99:Q101" si="208">IF(I99=1, D99, "UNDECIDED")</f>
        <v>0</v>
      </c>
      <c r="R99" s="24">
        <f t="shared" si="7"/>
        <v>3</v>
      </c>
    </row>
    <row r="100" hidden="1">
      <c r="A100" s="12" t="str">
        <f>IFERROR(__xludf.DUMMYFUNCTION("""COMPUTED_VALUE"""),"fbb0aeba3247a1150aba110cad18dd81")</f>
        <v>fbb0aeba3247a1150aba110cad18dd81</v>
      </c>
      <c r="B100" s="12" t="str">
        <f>IFERROR(__xludf.DUMMYFUNCTION("""COMPUTED_VALUE"""),"There are several forms of capacity building where governments and the private sector can contribute: technical assistance, research for responsible business practices, development of training manuals and guidebooks, development of regional support hubs a"&amp;"nd the strengthening of the Global Compact local networks. They can also encourage and facilitate communications among key stakeholders for developing and implementing SRB initiatives. A strong dialogue about SRB must be encouraged amongst stakeholders, s"&amp;"uch as governments, corporations, financial institutions, NGOs and CSOs, for their capacity building.")</f>
        <v>There are several forms of capacity building where governments and the private sector can contribute: technical assistance, research for responsible business practices, development of training manuals and guidebooks, development of regional support hubs and the strengthening of the Global Compact local networks. They can also encourage and facilitate communications among key stakeholders for developing and implementing SRB initiatives. A strong dialogue about SRB must be encouraged amongst stakeholders, such as governments, corporations, financial institutions, NGOs and CSOs, for their capacity building.</v>
      </c>
      <c r="C100" s="7" t="s">
        <v>439</v>
      </c>
      <c r="D100" s="49" t="b">
        <f t="shared" ref="D100:H100" si="206">VLOOKUP($A100, INDIRECT(D$1&amp;"!A:C"), 3, FALSE)</f>
        <v>0</v>
      </c>
      <c r="E100" s="49" t="str">
        <f t="shared" si="206"/>
        <v>TO DO</v>
      </c>
      <c r="F100" s="49" t="str">
        <f t="shared" si="206"/>
        <v>TO DO</v>
      </c>
      <c r="G100" s="49" t="b">
        <f t="shared" si="206"/>
        <v>0</v>
      </c>
      <c r="H100" s="49" t="b">
        <f t="shared" si="206"/>
        <v>1</v>
      </c>
      <c r="I100" s="50">
        <f t="shared" si="4"/>
        <v>0.3333333333</v>
      </c>
      <c r="J100" s="51" t="str">
        <f t="shared" ref="J100:N100" si="207">VLOOKUP($A100, INDIRECT(J$1&amp;"!A:D"), 4, FALSE)</f>
        <v/>
      </c>
      <c r="K100" s="51" t="str">
        <f t="shared" si="207"/>
        <v/>
      </c>
      <c r="L100" s="51" t="str">
        <f t="shared" si="207"/>
        <v/>
      </c>
      <c r="M100" s="51" t="str">
        <f t="shared" si="207"/>
        <v/>
      </c>
      <c r="N100" s="51" t="str">
        <f t="shared" si="207"/>
        <v/>
      </c>
      <c r="O100" s="50" t="str">
        <f>IFERROR(__xludf.DUMMYFUNCTION("IF(COUNTA(J100:N100)=0, """", ARRAYFORMULA(""- ""&amp;TEXTJOIN(char(10)&amp;""- "", TRUE, FILTER(J$1:N$1&amp;"": ""&amp;J100:N100, NOT(ISBLANK(J100:N100))))))"),"")</f>
        <v/>
      </c>
      <c r="P100" s="50" t="s">
        <v>432</v>
      </c>
      <c r="Q100" s="52" t="str">
        <f t="shared" si="208"/>
        <v>UNDECIDED</v>
      </c>
      <c r="R100" s="24">
        <f t="shared" si="7"/>
        <v>3</v>
      </c>
    </row>
    <row r="101">
      <c r="A101" s="12" t="str">
        <f>IFERROR(__xludf.DUMMYFUNCTION("""COMPUTED_VALUE"""),"f3e26c31fc440748f4dacd18dbecbc65")</f>
        <v>f3e26c31fc440748f4dacd18dbecbc65</v>
      </c>
      <c r="B101" s="12" t="str">
        <f>IFERROR(__xludf.DUMMYFUNCTION("""COMPUTED_VALUE"""),"They were first identified and defined by the ESCAP Sustainable Business Network (ESBN) Task Force on Banking and Finance.55 These principles are constituent components of the SRB model (Figure 6). They establish strong ethical guidelines so that business"&amp;" practices meet globally accepted standards for the valuing and pricing of products, sen/ices and assets, engaging with stakeholders, and assessing and managing risks. Each principle is defined, and its role in the SRB Model for a Sustainable Future expla"&amp;"ined.")</f>
        <v>They were first identified and defined by the ESCAP Sustainable Business Network (ESBN) Task Force on Banking and Finance.55 These principles are constituent components of the SRB model (Figure 6). They establish strong ethical guidelines so that business practices meet globally accepted standards for the valuing and pricing of products, sen/ices and assets, engaging with stakeholders, and assessing and managing risks. Each principle is defined, and its role in the SRB Model for a Sustainable Future explained.</v>
      </c>
      <c r="C101" s="54"/>
      <c r="D101" s="49" t="b">
        <f t="shared" ref="D101:H101" si="209">VLOOKUP($A101, INDIRECT(D$1&amp;"!A:C"), 3, FALSE)</f>
        <v>1</v>
      </c>
      <c r="E101" s="49" t="str">
        <f t="shared" si="209"/>
        <v>TO DO</v>
      </c>
      <c r="F101" s="49" t="str">
        <f t="shared" si="209"/>
        <v>TO DO</v>
      </c>
      <c r="G101" s="49" t="b">
        <f t="shared" si="209"/>
        <v>1</v>
      </c>
      <c r="H101" s="49" t="b">
        <f t="shared" si="209"/>
        <v>1</v>
      </c>
      <c r="I101" s="50">
        <f t="shared" si="4"/>
        <v>1</v>
      </c>
      <c r="J101" s="51" t="str">
        <f t="shared" ref="J101:N101" si="210">VLOOKUP($A101, INDIRECT(J$1&amp;"!A:D"), 4, FALSE)</f>
        <v/>
      </c>
      <c r="K101" s="51" t="str">
        <f t="shared" si="210"/>
        <v/>
      </c>
      <c r="L101" s="51" t="str">
        <f t="shared" si="210"/>
        <v/>
      </c>
      <c r="M101" s="51" t="str">
        <f t="shared" si="210"/>
        <v/>
      </c>
      <c r="N101" s="51" t="str">
        <f t="shared" si="210"/>
        <v/>
      </c>
      <c r="O101" s="50" t="str">
        <f>IFERROR(__xludf.DUMMYFUNCTION("IF(COUNTA(J101:N101)=0, """", ARRAYFORMULA(""- ""&amp;TEXTJOIN(char(10)&amp;""- "", TRUE, FILTER(J$1:N$1&amp;"": ""&amp;J101:N101, NOT(ISBLANK(J101:N101))))))"),"")</f>
        <v/>
      </c>
      <c r="P101" s="50" t="s">
        <v>432</v>
      </c>
      <c r="Q101" s="52" t="b">
        <f t="shared" si="208"/>
        <v>1</v>
      </c>
      <c r="R101" s="24">
        <f t="shared" si="7"/>
        <v>3</v>
      </c>
    </row>
  </sheetData>
  <autoFilter ref="$A$1:$T$101">
    <filterColumn colId="16">
      <filters>
        <filter val="TRUE"/>
        <filter val="FALSE"/>
      </filters>
    </filterColumn>
    <filterColumn colId="17">
      <filters>
        <filter val="2"/>
        <filter val="3"/>
        <filter val="4"/>
      </filters>
    </filterColumn>
  </autoFilter>
  <conditionalFormatting sqref="C2:P101">
    <cfRule type="cellIs" dxfId="2" priority="1" operator="equal">
      <formula>"TRUE"</formula>
    </cfRule>
  </conditionalFormatting>
  <conditionalFormatting sqref="C2:P101">
    <cfRule type="beginsWith" dxfId="3" priority="2" operator="beginsWith" text="FALSE">
      <formula>LEFT((C2),LEN("FALSE"))=("FALSE")</formula>
    </cfRule>
  </conditionalFormatting>
  <conditionalFormatting sqref="C2:P101">
    <cfRule type="cellIs" dxfId="4" priority="3" operator="equal">
      <formula>"TO DO"</formula>
    </cfRule>
  </conditionalFormatting>
  <conditionalFormatting sqref="C2:P101">
    <cfRule type="cellIs" dxfId="5" priority="4" operator="equal">
      <formula>"SKIP"</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5" max="5" width="15.0"/>
    <col customWidth="1" min="6" max="6" width="26.38"/>
  </cols>
  <sheetData>
    <row r="1">
      <c r="A1" s="23" t="s">
        <v>481</v>
      </c>
      <c r="B1" s="23" t="s">
        <v>342</v>
      </c>
      <c r="C1" s="23" t="s">
        <v>343</v>
      </c>
      <c r="D1" s="23" t="s">
        <v>348</v>
      </c>
      <c r="E1" s="23" t="s">
        <v>482</v>
      </c>
      <c r="F1" s="23" t="s">
        <v>340</v>
      </c>
      <c r="G1" s="23" t="s">
        <v>483</v>
      </c>
    </row>
    <row r="2">
      <c r="A2" s="24" t="str">
        <f t="shared" ref="A2:A81" si="1">LEFT(MD5(B2), 7)</f>
        <v>Loading...</v>
      </c>
      <c r="B2" s="12" t="s">
        <v>143</v>
      </c>
      <c r="C2" s="5">
        <v>12.0</v>
      </c>
      <c r="D2" s="5" t="b">
        <v>1</v>
      </c>
      <c r="E2" s="12" t="s">
        <v>142</v>
      </c>
      <c r="F2" s="24" t="str">
        <f t="array" ref="F2">VLOOKUP(E2,{Source!B:B,Source!A:A},2,FALSE)</f>
        <v>10.18356/ad0bffd4-en</v>
      </c>
    </row>
    <row r="3">
      <c r="A3" s="24" t="str">
        <f t="shared" si="1"/>
        <v>Loading...</v>
      </c>
      <c r="B3" s="12" t="s">
        <v>187</v>
      </c>
      <c r="C3" s="5">
        <v>12.0</v>
      </c>
      <c r="D3" s="5" t="b">
        <v>1</v>
      </c>
      <c r="E3" s="12" t="s">
        <v>186</v>
      </c>
      <c r="F3" s="24" t="str">
        <f t="array" ref="F3">VLOOKUP(E3,{Source!B:B,Source!A:A},2,FALSE)</f>
        <v>10.18356/974c3e9b-en</v>
      </c>
    </row>
    <row r="4">
      <c r="A4" s="24" t="str">
        <f t="shared" si="1"/>
        <v>Loading...</v>
      </c>
      <c r="B4" s="12" t="s">
        <v>201</v>
      </c>
      <c r="C4" s="5">
        <v>12.0</v>
      </c>
      <c r="D4" s="5" t="b">
        <v>0</v>
      </c>
      <c r="E4" s="12" t="s">
        <v>200</v>
      </c>
      <c r="F4" s="24" t="str">
        <f t="array" ref="F4">VLOOKUP(E4,{Source!B:B,Source!A:A},2,FALSE)</f>
        <v>10.14217/9781848599178-8-en</v>
      </c>
    </row>
    <row r="5">
      <c r="A5" s="24" t="str">
        <f t="shared" si="1"/>
        <v>Loading...</v>
      </c>
      <c r="B5" s="12" t="s">
        <v>152</v>
      </c>
      <c r="C5" s="5">
        <v>12.0</v>
      </c>
      <c r="D5" s="5" t="b">
        <v>1</v>
      </c>
      <c r="E5" s="12" t="s">
        <v>151</v>
      </c>
      <c r="F5" s="24" t="str">
        <f t="array" ref="F5">VLOOKUP(E5,{Source!B:B,Source!A:A},2,FALSE)</f>
        <v>10.18356/f29e3817-en</v>
      </c>
    </row>
    <row r="6">
      <c r="A6" s="24" t="str">
        <f t="shared" si="1"/>
        <v>Loading...</v>
      </c>
      <c r="B6" s="12" t="s">
        <v>160</v>
      </c>
      <c r="C6" s="5">
        <v>12.0</v>
      </c>
      <c r="D6" s="5" t="b">
        <v>1</v>
      </c>
      <c r="E6" s="12" t="s">
        <v>159</v>
      </c>
      <c r="F6" s="24" t="str">
        <f t="array" ref="F6">VLOOKUP(E6,{Source!B:B,Source!A:A},2,FALSE)</f>
        <v>10.18356/6236c858-en</v>
      </c>
    </row>
    <row r="7">
      <c r="A7" s="24" t="str">
        <f t="shared" si="1"/>
        <v>Loading...</v>
      </c>
      <c r="B7" s="55" t="s">
        <v>484</v>
      </c>
      <c r="C7" s="5">
        <v>12.0</v>
      </c>
      <c r="D7" s="5" t="b">
        <v>0</v>
      </c>
      <c r="E7" s="12" t="s">
        <v>214</v>
      </c>
      <c r="F7" s="24" t="str">
        <f t="array" ref="F7">VLOOKUP(E7,{Source!B:B,Source!A:A},2,FALSE)</f>
        <v>10.1787/5kmh3njpt6r0-en</v>
      </c>
      <c r="G7" s="5" t="s">
        <v>485</v>
      </c>
    </row>
    <row r="8">
      <c r="A8" s="24" t="str">
        <f t="shared" si="1"/>
        <v>Loading...</v>
      </c>
      <c r="B8" s="12" t="s">
        <v>248</v>
      </c>
      <c r="C8" s="5">
        <v>12.0</v>
      </c>
      <c r="D8" s="5" t="b">
        <v>0</v>
      </c>
      <c r="E8" s="12" t="s">
        <v>247</v>
      </c>
      <c r="F8" s="24" t="str">
        <f t="array" ref="F8">VLOOKUP(E8,{Source!B:B,Source!A:A},2,FALSE)</f>
        <v>10.18356/524212d8-en</v>
      </c>
    </row>
    <row r="9">
      <c r="A9" s="24" t="str">
        <f t="shared" si="1"/>
        <v>Loading...</v>
      </c>
      <c r="B9" s="12" t="s">
        <v>166</v>
      </c>
      <c r="C9" s="5">
        <v>12.0</v>
      </c>
      <c r="D9" s="5" t="b">
        <v>0</v>
      </c>
      <c r="E9" s="12" t="s">
        <v>165</v>
      </c>
      <c r="F9" s="24" t="str">
        <f t="array" ref="F9">VLOOKUP(E9,{Source!B:B,Source!A:A},2,FALSE)</f>
        <v>10.14217/9781848599178-7-en</v>
      </c>
    </row>
    <row r="10">
      <c r="A10" s="24" t="str">
        <f t="shared" si="1"/>
        <v>Loading...</v>
      </c>
      <c r="B10" s="12" t="s">
        <v>298</v>
      </c>
      <c r="C10" s="5">
        <v>12.0</v>
      </c>
      <c r="D10" s="5" t="b">
        <v>1</v>
      </c>
      <c r="E10" s="12" t="s">
        <v>297</v>
      </c>
      <c r="F10" s="24" t="str">
        <f t="array" ref="F10">VLOOKUP(E10,{Source!B:B,Source!A:A},2,FALSE)</f>
        <v>10.14217/9781848599178-7-en</v>
      </c>
    </row>
    <row r="11">
      <c r="A11" s="24" t="str">
        <f t="shared" si="1"/>
        <v>Loading...</v>
      </c>
      <c r="B11" s="12" t="s">
        <v>191</v>
      </c>
      <c r="C11" s="5">
        <v>12.0</v>
      </c>
      <c r="D11" s="5" t="b">
        <v>1</v>
      </c>
      <c r="E11" s="12" t="s">
        <v>190</v>
      </c>
      <c r="F11" s="24" t="str">
        <f t="array" ref="F11">VLOOKUP(E11,{Source!B:B,Source!A:A},2,FALSE)</f>
        <v>10.6027/bbc022bf-en</v>
      </c>
    </row>
    <row r="12">
      <c r="A12" s="24" t="str">
        <f t="shared" si="1"/>
        <v>Loading...</v>
      </c>
      <c r="B12" s="12" t="s">
        <v>113</v>
      </c>
      <c r="C12" s="5">
        <v>12.0</v>
      </c>
      <c r="D12" s="5" t="b">
        <v>1</v>
      </c>
      <c r="E12" s="12" t="s">
        <v>112</v>
      </c>
      <c r="F12" s="24" t="str">
        <f t="array" ref="F12">VLOOKUP(E12,{Source!B:B,Source!A:A},2,FALSE)</f>
        <v>10.18356/974c3e9b-en</v>
      </c>
    </row>
    <row r="13">
      <c r="A13" s="24" t="str">
        <f t="shared" si="1"/>
        <v>Loading...</v>
      </c>
      <c r="B13" s="12" t="s">
        <v>250</v>
      </c>
      <c r="C13" s="5">
        <v>12.0</v>
      </c>
      <c r="D13" s="5" t="b">
        <v>1</v>
      </c>
      <c r="E13" s="12" t="s">
        <v>249</v>
      </c>
      <c r="F13" s="24" t="str">
        <f t="array" ref="F13">VLOOKUP(E13,{Source!B:B,Source!A:A},2,FALSE)</f>
        <v>10.18356/6236c858-en</v>
      </c>
    </row>
    <row r="14">
      <c r="A14" s="24" t="str">
        <f t="shared" si="1"/>
        <v>Loading...</v>
      </c>
      <c r="B14" s="12" t="s">
        <v>128</v>
      </c>
      <c r="C14" s="5">
        <v>12.0</v>
      </c>
      <c r="D14" s="5" t="b">
        <v>0</v>
      </c>
      <c r="E14" s="12" t="s">
        <v>127</v>
      </c>
      <c r="F14" s="24" t="str">
        <f t="array" ref="F14">VLOOKUP(E14,{Source!B:B,Source!A:A},2,FALSE)</f>
        <v>10.1787/9789264203419-60-en</v>
      </c>
    </row>
    <row r="15">
      <c r="A15" s="24" t="str">
        <f t="shared" si="1"/>
        <v>Loading...</v>
      </c>
      <c r="B15" s="12" t="s">
        <v>141</v>
      </c>
      <c r="C15" s="5">
        <v>12.0</v>
      </c>
      <c r="D15" s="5" t="b">
        <v>1</v>
      </c>
      <c r="E15" s="12" t="s">
        <v>140</v>
      </c>
      <c r="F15" s="24" t="str">
        <f t="array" ref="F15">VLOOKUP(E15,{Source!B:B,Source!A:A},2,FALSE)</f>
        <v>10.1787/9789264208292-9-en</v>
      </c>
    </row>
    <row r="16">
      <c r="A16" s="24" t="str">
        <f t="shared" si="1"/>
        <v>Loading...</v>
      </c>
      <c r="B16" s="12" t="s">
        <v>106</v>
      </c>
      <c r="C16" s="5">
        <v>12.0</v>
      </c>
      <c r="D16" s="5" t="b">
        <v>1</v>
      </c>
      <c r="E16" s="12" t="s">
        <v>105</v>
      </c>
      <c r="F16" s="24" t="str">
        <f t="array" ref="F16">VLOOKUP(E16,{Source!B:B,Source!A:A},2,FALSE)</f>
        <v>10.1787/9789264174269-5-en</v>
      </c>
    </row>
    <row r="17">
      <c r="A17" s="24" t="str">
        <f t="shared" si="1"/>
        <v>Loading...</v>
      </c>
      <c r="B17" s="12" t="s">
        <v>213</v>
      </c>
      <c r="C17" s="5">
        <v>12.0</v>
      </c>
      <c r="D17" s="5" t="b">
        <v>1</v>
      </c>
      <c r="E17" s="12" t="s">
        <v>212</v>
      </c>
      <c r="F17" s="24" t="str">
        <f t="array" ref="F17">VLOOKUP(E17,{Source!B:B,Source!A:A},2,FALSE)</f>
        <v>10.18356/68f16c91-en</v>
      </c>
    </row>
    <row r="18">
      <c r="A18" s="24" t="str">
        <f t="shared" si="1"/>
        <v>Loading...</v>
      </c>
      <c r="B18" s="12" t="s">
        <v>292</v>
      </c>
      <c r="C18" s="5">
        <v>12.0</v>
      </c>
      <c r="D18" s="5" t="b">
        <v>1</v>
      </c>
      <c r="E18" s="12" t="s">
        <v>291</v>
      </c>
      <c r="F18" s="24" t="str">
        <f t="array" ref="F18">VLOOKUP(E18,{Source!B:B,Source!A:A},2,FALSE)</f>
        <v>10.6027/9789289350167-8-en</v>
      </c>
    </row>
    <row r="19">
      <c r="A19" s="24" t="str">
        <f t="shared" si="1"/>
        <v>Loading...</v>
      </c>
      <c r="B19" s="12" t="s">
        <v>211</v>
      </c>
      <c r="C19" s="5">
        <v>12.0</v>
      </c>
      <c r="D19" s="5" t="b">
        <v>0</v>
      </c>
      <c r="E19" s="12" t="s">
        <v>210</v>
      </c>
      <c r="F19" s="24" t="str">
        <f t="array" ref="F19">VLOOKUP(E19,{Source!B:B,Source!A:A},2,FALSE)</f>
        <v>10.1787/9789264077225-6-en</v>
      </c>
    </row>
    <row r="20">
      <c r="A20" s="24" t="str">
        <f t="shared" si="1"/>
        <v>Loading...</v>
      </c>
      <c r="B20" s="55" t="s">
        <v>486</v>
      </c>
      <c r="C20" s="5">
        <v>12.0</v>
      </c>
      <c r="D20" s="5" t="b">
        <v>1</v>
      </c>
      <c r="E20" s="12" t="s">
        <v>169</v>
      </c>
      <c r="F20" s="24" t="str">
        <f t="array" ref="F20">VLOOKUP(E20,{Source!B:B,Source!A:A},2,FALSE)</f>
        <v>10.18356/ee52a573-en</v>
      </c>
      <c r="G20" s="5" t="s">
        <v>487</v>
      </c>
    </row>
    <row r="21">
      <c r="A21" s="24" t="str">
        <f t="shared" si="1"/>
        <v>Loading...</v>
      </c>
      <c r="B21" s="55" t="s">
        <v>488</v>
      </c>
      <c r="C21" s="5">
        <v>12.0</v>
      </c>
      <c r="D21" s="5" t="b">
        <v>0</v>
      </c>
      <c r="E21" s="12" t="s">
        <v>173</v>
      </c>
      <c r="F21" s="24" t="str">
        <f t="array" ref="F21">VLOOKUP(E21,{Source!B:B,Source!A:A},2,FALSE)</f>
        <v>10.6027/65fe12b0-en</v>
      </c>
      <c r="G21" s="5" t="s">
        <v>489</v>
      </c>
    </row>
    <row r="22">
      <c r="A22" s="24" t="str">
        <f t="shared" si="1"/>
        <v>Loading...</v>
      </c>
      <c r="B22" s="12" t="s">
        <v>217</v>
      </c>
      <c r="C22" s="5">
        <v>12.0</v>
      </c>
      <c r="D22" s="5" t="b">
        <v>1</v>
      </c>
      <c r="E22" s="12" t="s">
        <v>216</v>
      </c>
      <c r="F22" s="24" t="str">
        <f t="array" ref="F22">VLOOKUP(E22,{Source!B:B,Source!A:A},2,FALSE)</f>
        <v>10.1787/5kggc0rpw55l-en</v>
      </c>
    </row>
    <row r="23">
      <c r="A23" s="24" t="str">
        <f t="shared" si="1"/>
        <v>Loading...</v>
      </c>
      <c r="B23" s="12" t="s">
        <v>205</v>
      </c>
      <c r="C23" s="5">
        <v>12.0</v>
      </c>
      <c r="D23" s="5" t="b">
        <v>0</v>
      </c>
      <c r="E23" s="12" t="s">
        <v>204</v>
      </c>
      <c r="F23" s="24" t="str">
        <f t="array" ref="F23">VLOOKUP(E23,{Source!B:B,Source!A:A},2,FALSE)</f>
        <v>10.6027/9789289348393-7-en</v>
      </c>
    </row>
    <row r="24">
      <c r="A24" s="24" t="str">
        <f t="shared" si="1"/>
        <v>Loading...</v>
      </c>
      <c r="B24" s="12" t="s">
        <v>256</v>
      </c>
      <c r="C24" s="5">
        <v>12.0</v>
      </c>
      <c r="D24" s="5" t="b">
        <v>1</v>
      </c>
      <c r="E24" s="12" t="s">
        <v>255</v>
      </c>
      <c r="F24" s="24" t="str">
        <f t="array" ref="F24">VLOOKUP(E24,{Source!B:B,Source!A:A},2,FALSE)</f>
        <v>10.1787/9789264240056-12-en</v>
      </c>
    </row>
    <row r="25">
      <c r="A25" s="24" t="str">
        <f t="shared" si="1"/>
        <v>Loading...</v>
      </c>
      <c r="B25" s="12" t="s">
        <v>224</v>
      </c>
      <c r="C25" s="5">
        <v>12.0</v>
      </c>
      <c r="D25" s="5" t="b">
        <v>1</v>
      </c>
      <c r="E25" s="12" t="s">
        <v>223</v>
      </c>
      <c r="F25" s="24" t="str">
        <f t="array" ref="F25">VLOOKUP(E25,{Source!B:B,Source!A:A},2,FALSE)</f>
        <v>10.1787/5k483jn5j1lv-en</v>
      </c>
    </row>
    <row r="26">
      <c r="A26" s="24" t="str">
        <f t="shared" si="1"/>
        <v>Loading...</v>
      </c>
      <c r="B26" s="12" t="s">
        <v>238</v>
      </c>
      <c r="C26" s="5">
        <v>12.0</v>
      </c>
      <c r="D26" s="5" t="b">
        <v>1</v>
      </c>
      <c r="E26" s="12" t="s">
        <v>237</v>
      </c>
      <c r="F26" s="24" t="str">
        <f t="array" ref="F26">VLOOKUP(E26,{Source!B:B,Source!A:A},2,FALSE)</f>
        <v>10.6027/7d17bba9-en</v>
      </c>
    </row>
    <row r="27">
      <c r="A27" s="24" t="str">
        <f t="shared" si="1"/>
        <v>Loading...</v>
      </c>
      <c r="B27" s="12" t="s">
        <v>158</v>
      </c>
      <c r="C27" s="5">
        <v>12.0</v>
      </c>
      <c r="D27" s="5" t="b">
        <v>0</v>
      </c>
      <c r="E27" s="12" t="s">
        <v>157</v>
      </c>
      <c r="F27" s="24" t="str">
        <f t="array" ref="F27">VLOOKUP(E27,{Source!B:B,Source!A:A},2,FALSE)</f>
        <v>10.14217/9781848599178-7-en</v>
      </c>
    </row>
    <row r="28">
      <c r="A28" s="24" t="str">
        <f t="shared" si="1"/>
        <v>Loading...</v>
      </c>
      <c r="B28" s="12" t="s">
        <v>199</v>
      </c>
      <c r="C28" s="5">
        <v>12.0</v>
      </c>
      <c r="D28" s="5" t="b">
        <v>0</v>
      </c>
      <c r="E28" s="12" t="s">
        <v>198</v>
      </c>
      <c r="F28" s="24" t="str">
        <f t="array" ref="F28">VLOOKUP(E28,{Source!B:B,Source!A:A},2,FALSE)</f>
        <v>10.14217/9781848599178-7-en</v>
      </c>
    </row>
    <row r="29">
      <c r="A29" s="24" t="str">
        <f t="shared" si="1"/>
        <v>Loading...</v>
      </c>
      <c r="B29" s="12" t="s">
        <v>286</v>
      </c>
      <c r="C29" s="5">
        <v>12.0</v>
      </c>
      <c r="D29" s="5" t="b">
        <v>0</v>
      </c>
      <c r="E29" s="12" t="s">
        <v>285</v>
      </c>
      <c r="F29" s="24" t="str">
        <f t="array" ref="F29">VLOOKUP(E29,{Source!B:B,Source!A:A},2,FALSE)</f>
        <v>10.1787/9789264223202-7-en</v>
      </c>
    </row>
    <row r="30">
      <c r="A30" s="24" t="str">
        <f t="shared" si="1"/>
        <v>Loading...</v>
      </c>
      <c r="B30" s="12" t="s">
        <v>262</v>
      </c>
      <c r="C30" s="5">
        <v>12.0</v>
      </c>
      <c r="D30" s="5" t="b">
        <v>0</v>
      </c>
      <c r="E30" s="12" t="s">
        <v>261</v>
      </c>
      <c r="F30" s="24" t="str">
        <f t="array" ref="F30">VLOOKUP(E30,{Source!B:B,Source!A:A},2,FALSE)</f>
        <v>10.18356/cabe9310-en</v>
      </c>
    </row>
    <row r="31">
      <c r="A31" s="24" t="str">
        <f t="shared" si="1"/>
        <v>Loading...</v>
      </c>
      <c r="B31" s="55" t="s">
        <v>490</v>
      </c>
      <c r="C31" s="5">
        <v>12.0</v>
      </c>
      <c r="D31" s="5" t="b">
        <v>1</v>
      </c>
      <c r="E31" s="12" t="s">
        <v>243</v>
      </c>
      <c r="F31" s="24" t="str">
        <f t="array" ref="F31">VLOOKUP(E31,{Source!B:B,Source!A:A},2,FALSE)</f>
        <v>10.1787/9789264239616-4-en</v>
      </c>
      <c r="G31" s="5" t="s">
        <v>485</v>
      </c>
    </row>
    <row r="32">
      <c r="A32" s="24" t="str">
        <f t="shared" si="1"/>
        <v>Loading...</v>
      </c>
      <c r="B32" s="12" t="s">
        <v>282</v>
      </c>
      <c r="C32" s="5">
        <v>12.0</v>
      </c>
      <c r="D32" s="5" t="b">
        <v>0</v>
      </c>
      <c r="E32" s="12" t="s">
        <v>281</v>
      </c>
      <c r="F32" s="24" t="str">
        <f t="array" ref="F32">VLOOKUP(E32,{Source!B:B,Source!A:A},2,FALSE)</f>
        <v>10.18356/5e60d4be-en</v>
      </c>
    </row>
    <row r="33">
      <c r="A33" s="24" t="str">
        <f t="shared" si="1"/>
        <v>Loading...</v>
      </c>
      <c r="B33" s="12" t="s">
        <v>172</v>
      </c>
      <c r="C33" s="5">
        <v>12.0</v>
      </c>
      <c r="D33" s="5" t="b">
        <v>0</v>
      </c>
      <c r="E33" s="12" t="s">
        <v>171</v>
      </c>
      <c r="F33" s="24" t="str">
        <f t="array" ref="F33">VLOOKUP(E33,{Source!B:B,Source!A:A},2,FALSE)</f>
        <v>10.14217/9781848599178-7-en</v>
      </c>
      <c r="G33" s="5" t="s">
        <v>453</v>
      </c>
    </row>
    <row r="34">
      <c r="A34" s="24" t="str">
        <f t="shared" si="1"/>
        <v>Loading...</v>
      </c>
      <c r="B34" s="12" t="s">
        <v>126</v>
      </c>
      <c r="C34" s="5">
        <v>12.0</v>
      </c>
      <c r="D34" s="5" t="b">
        <v>1</v>
      </c>
      <c r="E34" s="12" t="s">
        <v>125</v>
      </c>
      <c r="F34" s="24" t="str">
        <f t="array" ref="F34">VLOOKUP(E34,{Source!B:B,Source!A:A},2,FALSE)</f>
        <v>10.18356/ee52a573-en</v>
      </c>
    </row>
    <row r="35">
      <c r="A35" s="24" t="str">
        <f t="shared" si="1"/>
        <v>Loading...</v>
      </c>
      <c r="B35" s="12" t="s">
        <v>230</v>
      </c>
      <c r="C35" s="5">
        <v>12.0</v>
      </c>
      <c r="D35" s="5" t="b">
        <v>0</v>
      </c>
      <c r="E35" s="12" t="s">
        <v>229</v>
      </c>
      <c r="F35" s="24" t="str">
        <f t="array" ref="F35">VLOOKUP(E35,{Source!B:B,Source!A:A},2,FALSE)</f>
        <v>10.1787/9789264257344-en</v>
      </c>
    </row>
    <row r="36">
      <c r="A36" s="24" t="str">
        <f t="shared" si="1"/>
        <v>Loading...</v>
      </c>
      <c r="B36" s="12" t="s">
        <v>178</v>
      </c>
      <c r="C36" s="5">
        <v>12.0</v>
      </c>
      <c r="D36" s="5" t="b">
        <v>0</v>
      </c>
      <c r="E36" s="12" t="s">
        <v>177</v>
      </c>
      <c r="F36" s="24" t="str">
        <f t="array" ref="F36">VLOOKUP(E36,{Source!B:B,Source!A:A},2,FALSE)</f>
        <v>10.1787/9789264044135-3-en</v>
      </c>
    </row>
    <row r="37">
      <c r="A37" s="24" t="str">
        <f t="shared" si="1"/>
        <v>Loading...</v>
      </c>
      <c r="B37" s="12" t="s">
        <v>168</v>
      </c>
      <c r="C37" s="5">
        <v>12.0</v>
      </c>
      <c r="D37" s="5" t="b">
        <v>0</v>
      </c>
      <c r="E37" s="12" t="s">
        <v>167</v>
      </c>
      <c r="F37" s="24" t="str">
        <f t="array" ref="F37">VLOOKUP(E37,{Source!B:B,Source!A:A},2,FALSE)</f>
        <v>10.14217/9781848599178-8-en</v>
      </c>
    </row>
    <row r="38">
      <c r="A38" s="24" t="str">
        <f t="shared" si="1"/>
        <v>Loading...</v>
      </c>
      <c r="B38" s="12" t="s">
        <v>189</v>
      </c>
      <c r="C38" s="5">
        <v>12.0</v>
      </c>
      <c r="D38" s="5" t="b">
        <v>1</v>
      </c>
      <c r="E38" s="12" t="s">
        <v>188</v>
      </c>
      <c r="F38" s="24" t="str">
        <f t="array" ref="F38">VLOOKUP(E38,{Source!B:B,Source!A:A},2,FALSE)</f>
        <v>10.18356/9f2309f8-en</v>
      </c>
    </row>
    <row r="39">
      <c r="A39" s="24" t="str">
        <f t="shared" si="1"/>
        <v>Loading...</v>
      </c>
      <c r="B39" s="12" t="s">
        <v>232</v>
      </c>
      <c r="C39" s="5">
        <v>12.0</v>
      </c>
      <c r="D39" s="5" t="b">
        <v>1</v>
      </c>
      <c r="E39" s="12" t="s">
        <v>231</v>
      </c>
      <c r="F39" s="24" t="str">
        <f t="array" ref="F39">VLOOKUP(E39,{Source!B:B,Source!A:A},2,FALSE)</f>
        <v>10.1787/5k483jn5j1lv-en</v>
      </c>
    </row>
    <row r="40">
      <c r="A40" s="24" t="str">
        <f t="shared" si="1"/>
        <v>Loading...</v>
      </c>
      <c r="B40" s="12" t="s">
        <v>109</v>
      </c>
      <c r="C40" s="5">
        <v>12.0</v>
      </c>
      <c r="D40" s="5" t="b">
        <v>0</v>
      </c>
      <c r="E40" s="12" t="s">
        <v>108</v>
      </c>
      <c r="F40" s="24" t="str">
        <f t="array" ref="F40">VLOOKUP(E40,{Source!B:B,Source!A:A},2,FALSE)</f>
        <v>10.18356/62062f00-en</v>
      </c>
    </row>
    <row r="41">
      <c r="A41" s="24" t="str">
        <f t="shared" si="1"/>
        <v>Loading...</v>
      </c>
      <c r="B41" s="12" t="s">
        <v>197</v>
      </c>
      <c r="C41" s="5">
        <v>12.0</v>
      </c>
      <c r="D41" s="5" t="b">
        <v>1</v>
      </c>
      <c r="E41" s="12" t="s">
        <v>196</v>
      </c>
      <c r="F41" s="24" t="str">
        <f t="array" ref="F41">VLOOKUP(E41,{Source!B:B,Source!A:A},2,FALSE)</f>
        <v>10.1787/5k483jn5j1lv-en</v>
      </c>
      <c r="G41" s="5" t="s">
        <v>455</v>
      </c>
    </row>
    <row r="42">
      <c r="A42" s="24" t="str">
        <f t="shared" si="1"/>
        <v>Loading...</v>
      </c>
      <c r="B42" s="12" t="s">
        <v>193</v>
      </c>
      <c r="C42" s="5">
        <v>12.0</v>
      </c>
      <c r="D42" s="5" t="b">
        <v>1</v>
      </c>
      <c r="E42" s="12" t="s">
        <v>192</v>
      </c>
      <c r="F42" s="24" t="str">
        <f t="array" ref="F42">VLOOKUP(E42,{Source!B:B,Source!A:A},2,FALSE)</f>
        <v>10.6027/9789289347235-7-en</v>
      </c>
    </row>
    <row r="43">
      <c r="A43" s="24" t="str">
        <f t="shared" si="1"/>
        <v>Loading...</v>
      </c>
      <c r="B43" s="12" t="s">
        <v>252</v>
      </c>
      <c r="C43" s="5">
        <v>12.0</v>
      </c>
      <c r="D43" s="5" t="b">
        <v>1</v>
      </c>
      <c r="E43" s="12" t="s">
        <v>251</v>
      </c>
      <c r="F43" s="24" t="str">
        <f t="array" ref="F43">VLOOKUP(E43,{Source!B:B,Source!A:A},2,FALSE)</f>
        <v>10.18356/4796ea8c-en</v>
      </c>
    </row>
    <row r="44">
      <c r="A44" s="24" t="str">
        <f t="shared" si="1"/>
        <v>Loading...</v>
      </c>
      <c r="B44" s="12" t="s">
        <v>284</v>
      </c>
      <c r="C44" s="5">
        <v>12.0</v>
      </c>
      <c r="D44" s="5" t="b">
        <v>1</v>
      </c>
      <c r="E44" s="12" t="s">
        <v>283</v>
      </c>
      <c r="F44" s="24" t="str">
        <f t="array" ref="F44">VLOOKUP(E44,{Source!B:B,Source!A:A},2,FALSE)</f>
        <v>10.18356/f76cbb14-en</v>
      </c>
      <c r="G44" s="5" t="s">
        <v>457</v>
      </c>
    </row>
    <row r="45">
      <c r="A45" s="24" t="str">
        <f t="shared" si="1"/>
        <v>Loading...</v>
      </c>
      <c r="B45" s="12" t="s">
        <v>220</v>
      </c>
      <c r="C45" s="5">
        <v>12.0</v>
      </c>
      <c r="D45" s="5" t="b">
        <v>0</v>
      </c>
      <c r="E45" s="12" t="s">
        <v>219</v>
      </c>
      <c r="F45" s="24" t="str">
        <f t="array" ref="F45">VLOOKUP(E45,{Source!B:B,Source!A:A},2,FALSE)</f>
        <v>10.18356/29c3b7bb-en</v>
      </c>
    </row>
    <row r="46">
      <c r="A46" s="24" t="str">
        <f t="shared" si="1"/>
        <v>Loading...</v>
      </c>
      <c r="B46" s="12" t="s">
        <v>280</v>
      </c>
      <c r="C46" s="5">
        <v>12.0</v>
      </c>
      <c r="D46" s="5" t="b">
        <v>1</v>
      </c>
      <c r="E46" s="12" t="s">
        <v>279</v>
      </c>
      <c r="F46" s="24" t="str">
        <f t="array" ref="F46">VLOOKUP(E46,{Source!B:B,Source!A:A},2,FALSE)</f>
        <v>10.18356/ee52a573-en</v>
      </c>
    </row>
    <row r="47">
      <c r="A47" s="24" t="str">
        <f t="shared" si="1"/>
        <v>Loading...</v>
      </c>
      <c r="B47" s="55" t="s">
        <v>491</v>
      </c>
      <c r="C47" s="5">
        <v>12.0</v>
      </c>
      <c r="D47" s="5" t="b">
        <v>1</v>
      </c>
      <c r="E47" s="12" t="s">
        <v>122</v>
      </c>
      <c r="F47" s="24" t="str">
        <f t="array" ref="F47">VLOOKUP(E47,{Source!B:B,Source!A:A},2,FALSE)</f>
        <v>10.18356/524212d8-en</v>
      </c>
      <c r="G47" s="5" t="s">
        <v>492</v>
      </c>
    </row>
    <row r="48">
      <c r="A48" s="24" t="str">
        <f t="shared" si="1"/>
        <v>Loading...</v>
      </c>
      <c r="B48" s="12" t="s">
        <v>300</v>
      </c>
      <c r="C48" s="5">
        <v>12.0</v>
      </c>
      <c r="D48" s="5" t="b">
        <v>1</v>
      </c>
      <c r="E48" s="12" t="s">
        <v>299</v>
      </c>
      <c r="F48" s="24" t="str">
        <f t="array" ref="F48">VLOOKUP(E48,{Source!B:B,Source!A:A},2,FALSE)</f>
        <v>10.18356/f76cbb14-en</v>
      </c>
    </row>
    <row r="49">
      <c r="A49" s="24" t="str">
        <f t="shared" si="1"/>
        <v>Loading...</v>
      </c>
      <c r="B49" s="12" t="s">
        <v>101</v>
      </c>
      <c r="C49" s="5">
        <v>12.0</v>
      </c>
      <c r="D49" s="5" t="b">
        <v>1</v>
      </c>
      <c r="E49" s="12" t="s">
        <v>100</v>
      </c>
      <c r="F49" s="24" t="str">
        <f t="array" ref="F49">VLOOKUP(E49,{Source!B:B,Source!A:A},2,FALSE)</f>
        <v>10.6027/9789289348393-7-en</v>
      </c>
    </row>
    <row r="50">
      <c r="A50" s="24" t="str">
        <f t="shared" si="1"/>
        <v>Loading...</v>
      </c>
      <c r="B50" s="12" t="s">
        <v>258</v>
      </c>
      <c r="C50" s="5">
        <v>12.0</v>
      </c>
      <c r="D50" s="5" t="b">
        <v>0</v>
      </c>
      <c r="E50" s="12" t="s">
        <v>257</v>
      </c>
      <c r="F50" s="24" t="str">
        <f t="array" ref="F50">VLOOKUP(E50,{Source!B:B,Source!A:A},2,FALSE)</f>
        <v>10.1787/9789264079502-6-en</v>
      </c>
    </row>
    <row r="51">
      <c r="A51" s="24" t="str">
        <f t="shared" si="1"/>
        <v>Loading...</v>
      </c>
      <c r="B51" s="12" t="s">
        <v>145</v>
      </c>
      <c r="C51" s="5">
        <v>12.0</v>
      </c>
      <c r="D51" s="5" t="b">
        <v>1</v>
      </c>
      <c r="E51" s="12" t="s">
        <v>144</v>
      </c>
      <c r="F51" s="24" t="str">
        <f t="array" ref="F51">VLOOKUP(E51,{Source!B:B,Source!A:A},2,FALSE)</f>
        <v>10.1787/5k483jn5j1lv-en</v>
      </c>
    </row>
    <row r="52">
      <c r="A52" s="24" t="str">
        <f t="shared" si="1"/>
        <v>Loading...</v>
      </c>
      <c r="B52" s="12" t="s">
        <v>164</v>
      </c>
      <c r="C52" s="5">
        <v>12.0</v>
      </c>
      <c r="D52" s="5" t="b">
        <v>1</v>
      </c>
      <c r="E52" s="12" t="s">
        <v>163</v>
      </c>
      <c r="F52" s="24" t="str">
        <f t="array" ref="F52">VLOOKUP(E52,{Source!B:B,Source!A:A},2,FALSE)</f>
        <v>10.18356/524212d8-en</v>
      </c>
    </row>
    <row r="53">
      <c r="A53" s="24" t="str">
        <f t="shared" si="1"/>
        <v>Loading...</v>
      </c>
      <c r="B53" s="12" t="s">
        <v>276</v>
      </c>
      <c r="C53" s="5">
        <v>12.0</v>
      </c>
      <c r="D53" s="5" t="b">
        <v>1</v>
      </c>
      <c r="E53" s="12" t="s">
        <v>275</v>
      </c>
      <c r="F53" s="24" t="str">
        <f t="array" ref="F53">VLOOKUP(E53,{Source!B:B,Source!A:A},2,FALSE)</f>
        <v>10.1787/5k483jn5j1lv-en</v>
      </c>
    </row>
    <row r="54">
      <c r="A54" s="24" t="str">
        <f t="shared" si="1"/>
        <v>Loading...</v>
      </c>
      <c r="B54" s="12" t="s">
        <v>228</v>
      </c>
      <c r="C54" s="5">
        <v>12.0</v>
      </c>
      <c r="D54" s="5" t="b">
        <v>1</v>
      </c>
      <c r="E54" s="12" t="s">
        <v>227</v>
      </c>
      <c r="F54" s="24" t="str">
        <f t="array" ref="F54">VLOOKUP(E54,{Source!B:B,Source!A:A},2,FALSE)</f>
        <v>10.18356/86ec538f-en</v>
      </c>
    </row>
    <row r="55">
      <c r="A55" s="24" t="str">
        <f t="shared" si="1"/>
        <v>Loading...</v>
      </c>
      <c r="B55" s="12" t="s">
        <v>95</v>
      </c>
      <c r="C55" s="5">
        <v>12.0</v>
      </c>
      <c r="D55" s="5" t="b">
        <v>1</v>
      </c>
      <c r="E55" s="12" t="s">
        <v>94</v>
      </c>
      <c r="F55" s="24" t="str">
        <f t="array" ref="F55">VLOOKUP(E55,{Source!B:B,Source!A:A},2,FALSE)</f>
        <v>10.6027/9789289329422-8-en</v>
      </c>
    </row>
    <row r="56">
      <c r="A56" s="24" t="str">
        <f t="shared" si="1"/>
        <v>Loading...</v>
      </c>
      <c r="B56" s="12" t="s">
        <v>134</v>
      </c>
      <c r="C56" s="5">
        <v>12.0</v>
      </c>
      <c r="D56" s="5" t="b">
        <v>0</v>
      </c>
      <c r="E56" s="12" t="s">
        <v>133</v>
      </c>
      <c r="F56" s="24" t="str">
        <f t="array" ref="F56">VLOOKUP(E56,{Source!B:B,Source!A:A},2,FALSE)</f>
        <v>10.18356/5e60d4be-en</v>
      </c>
    </row>
    <row r="57">
      <c r="A57" s="24" t="str">
        <f t="shared" si="1"/>
        <v>Loading...</v>
      </c>
      <c r="B57" s="12" t="s">
        <v>117</v>
      </c>
      <c r="C57" s="5">
        <v>12.0</v>
      </c>
      <c r="D57" s="5" t="b">
        <v>0</v>
      </c>
      <c r="E57" s="12" t="s">
        <v>116</v>
      </c>
      <c r="F57" s="24" t="str">
        <f t="array" ref="F57">VLOOKUP(E57,{Source!B:B,Source!A:A},2,FALSE)</f>
        <v>10.14217/9781848599178-7-en</v>
      </c>
    </row>
    <row r="58">
      <c r="A58" s="24" t="str">
        <f t="shared" si="1"/>
        <v>Loading...</v>
      </c>
      <c r="B58" s="12" t="s">
        <v>195</v>
      </c>
      <c r="C58" s="5">
        <v>12.0</v>
      </c>
      <c r="D58" s="5" t="b">
        <v>0</v>
      </c>
      <c r="E58" s="12" t="s">
        <v>194</v>
      </c>
      <c r="F58" s="24" t="str">
        <f t="array" ref="F58">VLOOKUP(E58,{Source!B:B,Source!A:A},2,FALSE)</f>
        <v>10.18356/709f1e18-en</v>
      </c>
    </row>
    <row r="59">
      <c r="A59" s="24" t="str">
        <f t="shared" si="1"/>
        <v>Loading...</v>
      </c>
      <c r="B59" s="12" t="s">
        <v>266</v>
      </c>
      <c r="C59" s="5">
        <v>12.0</v>
      </c>
      <c r="D59" s="5" t="b">
        <v>0</v>
      </c>
      <c r="E59" s="12" t="s">
        <v>265</v>
      </c>
      <c r="F59" s="24" t="str">
        <f t="array" ref="F59">VLOOKUP(E59,{Source!B:B,Source!A:A},2,FALSE)</f>
        <v>10.14217/9781848590854-10-en</v>
      </c>
    </row>
    <row r="60">
      <c r="A60" s="24" t="str">
        <f t="shared" si="1"/>
        <v>Loading...</v>
      </c>
      <c r="B60" s="12" t="s">
        <v>115</v>
      </c>
      <c r="C60" s="5">
        <v>12.0</v>
      </c>
      <c r="D60" s="5" t="b">
        <v>1</v>
      </c>
      <c r="E60" s="12" t="s">
        <v>114</v>
      </c>
      <c r="F60" s="24" t="str">
        <f t="array" ref="F60">VLOOKUP(E60,{Source!B:B,Source!A:A},2,FALSE)</f>
        <v>10.1787/9789264208292-10-en</v>
      </c>
      <c r="G60" s="5" t="s">
        <v>466</v>
      </c>
    </row>
    <row r="61">
      <c r="A61" s="24" t="str">
        <f t="shared" si="1"/>
        <v>Loading...</v>
      </c>
      <c r="B61" s="12" t="s">
        <v>119</v>
      </c>
      <c r="C61" s="5">
        <v>12.0</v>
      </c>
      <c r="D61" s="5" t="b">
        <v>0</v>
      </c>
      <c r="E61" s="12" t="s">
        <v>118</v>
      </c>
      <c r="F61" s="24" t="str">
        <f t="array" ref="F61">VLOOKUP(E61,{Source!B:B,Source!A:A},2,FALSE)</f>
        <v>10.18356/4413a3e2-en</v>
      </c>
    </row>
    <row r="62">
      <c r="A62" s="24" t="str">
        <f t="shared" si="1"/>
        <v>Loading...</v>
      </c>
      <c r="B62" s="12" t="s">
        <v>132</v>
      </c>
      <c r="C62" s="5">
        <v>12.0</v>
      </c>
      <c r="D62" s="5" t="b">
        <v>0</v>
      </c>
      <c r="E62" s="12" t="s">
        <v>131</v>
      </c>
      <c r="F62" s="24" t="str">
        <f t="array" ref="F62">VLOOKUP(E62,{Source!B:B,Source!A:A},2,FALSE)</f>
        <v>10.18356/16f920fe-en</v>
      </c>
    </row>
    <row r="63">
      <c r="A63" s="24" t="str">
        <f t="shared" si="1"/>
        <v>Loading...</v>
      </c>
      <c r="B63" s="55" t="s">
        <v>493</v>
      </c>
      <c r="C63" s="5">
        <v>12.0</v>
      </c>
      <c r="D63" s="5" t="b">
        <v>1</v>
      </c>
      <c r="E63" s="12" t="s">
        <v>287</v>
      </c>
      <c r="F63" s="24" t="str">
        <f t="array" ref="F63">VLOOKUP(E63,{Source!B:B,Source!A:A},2,FALSE)</f>
        <v>10.6027/9789289348393-5-en</v>
      </c>
      <c r="G63" s="5" t="s">
        <v>485</v>
      </c>
    </row>
    <row r="64">
      <c r="A64" s="24" t="str">
        <f t="shared" si="1"/>
        <v>Loading...</v>
      </c>
      <c r="B64" s="12" t="s">
        <v>148</v>
      </c>
      <c r="C64" s="5">
        <v>12.0</v>
      </c>
      <c r="D64" s="5" t="b">
        <v>0</v>
      </c>
      <c r="E64" s="12" t="s">
        <v>147</v>
      </c>
      <c r="F64" s="24" t="str">
        <f t="array" ref="F64">VLOOKUP(E64,{Source!B:B,Source!A:A},2,FALSE)</f>
        <v>10.18356/d004d8b3-en</v>
      </c>
    </row>
    <row r="65">
      <c r="A65" s="24" t="str">
        <f t="shared" si="1"/>
        <v>Loading...</v>
      </c>
      <c r="B65" s="12" t="s">
        <v>268</v>
      </c>
      <c r="C65" s="5">
        <v>12.0</v>
      </c>
      <c r="D65" s="5" t="b">
        <v>0</v>
      </c>
      <c r="E65" s="12" t="s">
        <v>267</v>
      </c>
      <c r="F65" s="24" t="str">
        <f t="array" ref="F65">VLOOKUP(E65,{Source!B:B,Source!A:A},2,FALSE)</f>
        <v>10.18356/5e60d4be-en</v>
      </c>
    </row>
    <row r="66">
      <c r="A66" s="24" t="str">
        <f t="shared" si="1"/>
        <v>Loading...</v>
      </c>
      <c r="B66" s="12" t="s">
        <v>185</v>
      </c>
      <c r="C66" s="5">
        <v>12.0</v>
      </c>
      <c r="D66" s="5" t="b">
        <v>1</v>
      </c>
      <c r="E66" s="12" t="s">
        <v>184</v>
      </c>
      <c r="F66" s="24" t="str">
        <f t="array" ref="F66">VLOOKUP(E66,{Source!B:B,Source!A:A},2,FALSE)</f>
        <v>10.6027/9789289348393-7-en</v>
      </c>
    </row>
    <row r="67">
      <c r="A67" s="24" t="str">
        <f t="shared" si="1"/>
        <v>Loading...</v>
      </c>
      <c r="B67" s="12" t="s">
        <v>121</v>
      </c>
      <c r="C67" s="5">
        <v>12.0</v>
      </c>
      <c r="D67" s="5" t="b">
        <v>0</v>
      </c>
      <c r="E67" s="12" t="s">
        <v>120</v>
      </c>
      <c r="F67" s="24" t="str">
        <f t="array" ref="F67">VLOOKUP(E67,{Source!B:B,Source!A:A},2,FALSE)</f>
        <v>10.18356/312bd0fb-en</v>
      </c>
    </row>
    <row r="68">
      <c r="A68" s="24" t="str">
        <f t="shared" si="1"/>
        <v>Loading...</v>
      </c>
      <c r="B68" s="12" t="s">
        <v>254</v>
      </c>
      <c r="C68" s="5">
        <v>12.0</v>
      </c>
      <c r="D68" s="5" t="b">
        <v>1</v>
      </c>
      <c r="E68" s="12" t="s">
        <v>253</v>
      </c>
      <c r="F68" s="24" t="str">
        <f t="array" ref="F68">VLOOKUP(E68,{Source!B:B,Source!A:A},2,FALSE)</f>
        <v>10.18356/d004d8b3-en</v>
      </c>
    </row>
    <row r="69">
      <c r="A69" s="24" t="str">
        <f t="shared" si="1"/>
        <v>Loading...</v>
      </c>
      <c r="B69" s="12" t="s">
        <v>130</v>
      </c>
      <c r="C69" s="5">
        <v>12.0</v>
      </c>
      <c r="D69" s="5" t="b">
        <v>0</v>
      </c>
      <c r="E69" s="12" t="s">
        <v>129</v>
      </c>
      <c r="F69" s="24" t="str">
        <f t="array" ref="F69">VLOOKUP(E69,{Source!B:B,Source!A:A},2,FALSE)</f>
        <v>11.1002/pub/807b3f08-48bc40b1-en</v>
      </c>
    </row>
    <row r="70">
      <c r="A70" s="24" t="str">
        <f t="shared" si="1"/>
        <v>Loading...</v>
      </c>
      <c r="B70" s="12" t="s">
        <v>180</v>
      </c>
      <c r="C70" s="5">
        <v>12.0</v>
      </c>
      <c r="D70" s="5" t="b">
        <v>1</v>
      </c>
      <c r="E70" s="12" t="s">
        <v>179</v>
      </c>
      <c r="F70" s="24" t="str">
        <f t="array" ref="F70">VLOOKUP(E70,{Source!B:B,Source!A:A},2,FALSE)</f>
        <v>10.18356/6f0d13fe-en</v>
      </c>
    </row>
    <row r="71">
      <c r="A71" s="24" t="str">
        <f t="shared" si="1"/>
        <v>Loading...</v>
      </c>
      <c r="B71" s="12" t="s">
        <v>294</v>
      </c>
      <c r="C71" s="5">
        <v>12.0</v>
      </c>
      <c r="D71" s="5" t="b">
        <v>1</v>
      </c>
      <c r="E71" s="12" t="s">
        <v>293</v>
      </c>
      <c r="F71" s="24" t="str">
        <f t="array" ref="F71">VLOOKUP(E71,{Source!B:B,Source!A:A},2,FALSE)</f>
        <v>10.18356/b7061c2b-en</v>
      </c>
    </row>
    <row r="72">
      <c r="A72" s="24" t="str">
        <f t="shared" si="1"/>
        <v>Loading...</v>
      </c>
      <c r="B72" s="12" t="s">
        <v>260</v>
      </c>
      <c r="C72" s="5">
        <v>12.0</v>
      </c>
      <c r="D72" s="5" t="b">
        <v>0</v>
      </c>
      <c r="E72" s="12" t="s">
        <v>259</v>
      </c>
      <c r="F72" s="24" t="str">
        <f t="array" ref="F72">VLOOKUP(E72,{Source!B:B,Source!A:A},2,FALSE)</f>
        <v>10.14217/9781848590854-10-en</v>
      </c>
    </row>
    <row r="73">
      <c r="A73" s="24" t="str">
        <f t="shared" si="1"/>
        <v>Loading...</v>
      </c>
      <c r="B73" s="12" t="s">
        <v>139</v>
      </c>
      <c r="C73" s="5">
        <v>12.0</v>
      </c>
      <c r="D73" s="5" t="b">
        <v>1</v>
      </c>
      <c r="E73" s="12" t="s">
        <v>138</v>
      </c>
      <c r="F73" s="24" t="str">
        <f t="array" ref="F73">VLOOKUP(E73,{Source!B:B,Source!A:A},2,FALSE)</f>
        <v>10.18356/6236c858-en</v>
      </c>
    </row>
    <row r="74">
      <c r="A74" s="24" t="str">
        <f t="shared" si="1"/>
        <v>Loading...</v>
      </c>
      <c r="B74" s="12" t="s">
        <v>176</v>
      </c>
      <c r="C74" s="5">
        <v>12.0</v>
      </c>
      <c r="D74" s="5" t="b">
        <v>0</v>
      </c>
      <c r="E74" s="12" t="s">
        <v>175</v>
      </c>
      <c r="F74" s="24" t="str">
        <f t="array" ref="F74">VLOOKUP(E74,{Source!B:B,Source!A:A},2,FALSE)</f>
        <v>10.18356/5e60d4be-en</v>
      </c>
    </row>
    <row r="75">
      <c r="A75" s="24" t="str">
        <f t="shared" si="1"/>
        <v>Loading...</v>
      </c>
      <c r="B75" s="12" t="s">
        <v>270</v>
      </c>
      <c r="C75" s="5">
        <v>12.0</v>
      </c>
      <c r="D75" s="5" t="b">
        <v>0</v>
      </c>
      <c r="E75" s="12" t="s">
        <v>269</v>
      </c>
      <c r="F75" s="24" t="str">
        <f t="array" ref="F75">VLOOKUP(E75,{Source!B:B,Source!A:A},2,FALSE)</f>
        <v>10.6027/547ad041-en</v>
      </c>
    </row>
    <row r="76">
      <c r="A76" s="24" t="str">
        <f t="shared" si="1"/>
        <v>Loading...</v>
      </c>
      <c r="B76" s="12" t="s">
        <v>162</v>
      </c>
      <c r="C76" s="5">
        <v>12.0</v>
      </c>
      <c r="D76" s="5" t="b">
        <v>0</v>
      </c>
      <c r="E76" s="12" t="s">
        <v>161</v>
      </c>
      <c r="F76" s="24" t="str">
        <f t="array" ref="F76">VLOOKUP(E76,{Source!B:B,Source!A:A},2,FALSE)</f>
        <v>10.6027/9789289346597-10-en</v>
      </c>
    </row>
    <row r="77">
      <c r="A77" s="24" t="str">
        <f t="shared" si="1"/>
        <v>Loading...</v>
      </c>
      <c r="B77" s="55" t="s">
        <v>494</v>
      </c>
      <c r="C77" s="5">
        <v>12.0</v>
      </c>
      <c r="D77" s="5" t="b">
        <v>0</v>
      </c>
      <c r="E77" s="12" t="s">
        <v>233</v>
      </c>
      <c r="F77" s="24" t="str">
        <f t="array" ref="F77">VLOOKUP(E77,{Source!B:B,Source!A:A},2,FALSE)</f>
        <v>10.1787/5kggc0rpw55l-en</v>
      </c>
      <c r="G77" s="5" t="s">
        <v>485</v>
      </c>
    </row>
    <row r="78">
      <c r="A78" s="24" t="str">
        <f t="shared" si="1"/>
        <v>Loading...</v>
      </c>
      <c r="B78" s="12" t="s">
        <v>264</v>
      </c>
      <c r="C78" s="5">
        <v>12.0</v>
      </c>
      <c r="D78" s="5" t="b">
        <v>0</v>
      </c>
      <c r="E78" s="12" t="s">
        <v>263</v>
      </c>
      <c r="F78" s="24" t="str">
        <f t="array" ref="F78">VLOOKUP(E78,{Source!B:B,Source!A:A},2,FALSE)</f>
        <v>10.18356/86ec538f-en</v>
      </c>
    </row>
    <row r="79">
      <c r="A79" s="24" t="str">
        <f t="shared" si="1"/>
        <v>Loading...</v>
      </c>
      <c r="B79" s="12" t="s">
        <v>246</v>
      </c>
      <c r="C79" s="5">
        <v>12.0</v>
      </c>
      <c r="D79" s="5" t="b">
        <v>1</v>
      </c>
      <c r="E79" s="12" t="s">
        <v>245</v>
      </c>
      <c r="F79" s="24" t="str">
        <f t="array" ref="F79">VLOOKUP(E79,{Source!B:B,Source!A:A},2,FALSE)</f>
        <v>10.14217/9781848599178-7-en</v>
      </c>
      <c r="G79" s="5" t="s">
        <v>479</v>
      </c>
    </row>
    <row r="80">
      <c r="A80" s="24" t="str">
        <f t="shared" si="1"/>
        <v>Loading...</v>
      </c>
      <c r="B80" s="12" t="s">
        <v>203</v>
      </c>
      <c r="C80" s="5">
        <v>12.0</v>
      </c>
      <c r="D80" s="5" t="b">
        <v>0</v>
      </c>
      <c r="E80" s="12" t="s">
        <v>202</v>
      </c>
      <c r="F80" s="24" t="str">
        <f t="array" ref="F80">VLOOKUP(E80,{Source!B:B,Source!A:A},2,FALSE)</f>
        <v>11.1002/pub/807b3f08-48bc40b1-en</v>
      </c>
    </row>
    <row r="81">
      <c r="A81" s="24" t="str">
        <f t="shared" si="1"/>
        <v>Loading...</v>
      </c>
      <c r="B81" s="12" t="s">
        <v>296</v>
      </c>
      <c r="C81" s="5">
        <v>12.0</v>
      </c>
      <c r="D81" s="5" t="b">
        <v>1</v>
      </c>
      <c r="E81" s="12" t="s">
        <v>295</v>
      </c>
      <c r="F81" s="24" t="str">
        <f t="array" ref="F81">VLOOKUP(E81,{Source!B:B,Source!A:A},2,FALSE)</f>
        <v>10.18356/312bd0fb-en</v>
      </c>
    </row>
  </sheetData>
  <autoFilter ref="$A$1:$G$956"/>
  <drawing r:id="rId1"/>
</worksheet>
</file>