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inn" sheetId="2" r:id="rId5"/>
    <sheet state="visible" name="Gib" sheetId="3" r:id="rId6"/>
    <sheet state="visible" name="Jean-Baptiste" sheetId="4" r:id="rId7"/>
    <sheet state="visible" name="Meike" sheetId="5" r:id="rId8"/>
    <sheet state="visible" name="Steve" sheetId="6" r:id="rId9"/>
    <sheet state="visible" name="Source" sheetId="7" r:id="rId10"/>
    <sheet state="visible" name="Final Review" sheetId="8" r:id="rId11"/>
    <sheet state="visible" name="Output" sheetId="9" r:id="rId12"/>
  </sheets>
  <definedNames>
    <definedName hidden="1" localSheetId="6" name="_xlnm._FilterDatabase">Source!$A$1:$K$101</definedName>
    <definedName hidden="1" localSheetId="7" name="_xlnm._FilterDatabase">'Final Review'!$A$1:$S$101</definedName>
    <definedName hidden="1" localSheetId="8" name="_xlnm._FilterDatabase">Output!$A$1:$G$961</definedName>
  </definedNames>
  <calcPr/>
</workbook>
</file>

<file path=xl/sharedStrings.xml><?xml version="1.0" encoding="utf-8"?>
<sst xmlns="http://schemas.openxmlformats.org/spreadsheetml/2006/main" count="2352" uniqueCount="495">
  <si>
    <t>Hello 👋</t>
  </si>
  <si>
    <t>Welcome to the labeling exercise for SDG 6.</t>
  </si>
  <si>
    <t>The objective of this exercise is to label 100 texts in terms of their relevance to SDG 6.</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</si>
  <si>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</si>
  <si>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</si>
  <si>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</si>
  <si>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</si>
  <si>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</si>
  <si>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</si>
  <si>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</si>
  <si>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C.</t>
  </si>
  <si>
    <t>Column D contains a drop-down for picking the appropriate label. The options are:</t>
  </si>
  <si>
    <t>This text is relevant to SDG 6</t>
  </si>
  <si>
    <t>This text is not relevant to SDG 6</t>
  </si>
  <si>
    <t>SKIP</t>
  </si>
  <si>
    <t>You can use this if you are not sure about the label</t>
  </si>
  <si>
    <t>If you want, you can put any comments in column E.</t>
  </si>
  <si>
    <t>Instructions for Labeling</t>
  </si>
  <si>
    <t>The text should be annotated as SDG 6 only if:</t>
  </si>
  <si>
    <r>
      <rPr>
        <rFont val="Arial"/>
        <color theme="1"/>
        <u/>
      </rPr>
      <t xml:space="preserve">1. The text addresses </t>
    </r>
    <r>
      <rPr>
        <rFont val="Arial"/>
        <b/>
        <color theme="1"/>
        <u/>
      </rPr>
      <t>SDG 6 or one of its targets</t>
    </r>
  </si>
  <si>
    <t>See the official definitions of SDG 6 and its targets below ("SDG 6 Description &amp; Targets").</t>
  </si>
  <si>
    <t>AND</t>
  </si>
  <si>
    <r>
      <rPr>
        <rFont val="Arial"/>
        <color theme="1"/>
        <u/>
      </rPr>
      <t xml:space="preserve">2. The text addresses SDG 6 or its targets </t>
    </r>
    <r>
      <rPr>
        <rFont val="Arial"/>
        <b/>
        <color theme="1"/>
        <u/>
      </rPr>
      <t>directly</t>
    </r>
    <r>
      <rPr>
        <rFont val="Arial"/>
        <color theme="1"/>
        <u/>
      </rPr>
      <t>:</t>
    </r>
  </si>
  <si>
    <t>- the text should be directly relevant to SDG 6 or to achieving SDG 6</t>
  </si>
  <si>
    <t>- if a text only has an indirect or implicit relevance, it should not be labeled SDG 6</t>
  </si>
  <si>
    <r>
      <rPr>
        <rFont val="Arial"/>
        <color theme="1"/>
        <u/>
      </rPr>
      <t xml:space="preserve">3. The text addresses SDG 6 or its targets </t>
    </r>
    <r>
      <rPr>
        <rFont val="Arial"/>
        <b/>
        <color theme="1"/>
        <u/>
      </rPr>
      <t>specifically</t>
    </r>
    <r>
      <rPr>
        <rFont val="Arial"/>
        <color theme="1"/>
        <u/>
      </rPr>
      <t>:</t>
    </r>
  </si>
  <si>
    <t>- the text should be specific to SDG 6 and its targets</t>
  </si>
  <si>
    <t>- if fact stating, the text should contain value-laden words (e.g. renewable energy instead of energy, drug abuse instead of drugs, infant mortality instead of premature deaths)</t>
  </si>
  <si>
    <r>
      <rPr>
        <rFont val="Arial"/>
        <color theme="1"/>
        <u/>
      </rPr>
      <t xml:space="preserve">4. Annotate as SDG 6 regardless of </t>
    </r>
    <r>
      <rPr>
        <rFont val="Arial"/>
        <b/>
        <color theme="1"/>
        <u/>
      </rPr>
      <t>valence</t>
    </r>
    <r>
      <rPr>
        <rFont val="Arial"/>
        <color theme="1"/>
        <u/>
      </rPr>
      <t xml:space="preserve"> and </t>
    </r>
    <r>
      <rPr>
        <rFont val="Arial"/>
        <b/>
        <color theme="1"/>
        <u/>
      </rPr>
      <t>other SDGs</t>
    </r>
    <r>
      <rPr>
        <rFont val="Arial"/>
        <color theme="1"/>
        <u/>
      </rPr>
      <t>:</t>
    </r>
  </si>
  <si>
    <t>- annotate as SDG 6 regardless of whether the content is discussed in a positive or negative light. We ignore valence (sentiment) for now.</t>
  </si>
  <si>
    <t>- annotate as SDG 6 even if other SDGs are mentioned and annotate as SDG 6 even if SDG 6 is not the "most important" SDG in the text</t>
  </si>
  <si>
    <t>With all that said, please do trust your judgment! I am sure we will have important discussions about these issues next time — which is exactly what we want 😊</t>
  </si>
  <si>
    <t>SDG 6 Description &amp; Targets</t>
  </si>
  <si>
    <t>The official text for SDG 6 is: "Ensure availability and sustainable management of water and sanitation for all". Below you can see the targets for SDG 6.</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</si>
  <si>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</si>
  <si>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</si>
  <si>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</si>
  <si>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</si>
  <si>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</si>
  <si>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Finn</t>
  </si>
  <si>
    <t>Gib</t>
  </si>
  <si>
    <t>Jean-Baptiste</t>
  </si>
  <si>
    <t>Meike</t>
  </si>
  <si>
    <t>Steve</t>
  </si>
  <si>
    <t>Thank you for being part of this exercise and thanks to OSDG for the dataset! ❤️</t>
  </si>
  <si>
    <t>Text Selection</t>
  </si>
  <si>
    <t>FYI: You do not need to read this section. We are just documenting how the texts for this exercise were selected.</t>
  </si>
  <si>
    <t>In total, 100 texts were selected from the OSDG dataset for SDG 6. The reason for selecting each text is documented in the "Source" sheet.</t>
  </si>
  <si>
    <t>Automatic Selection (50 texts)</t>
  </si>
  <si>
    <t>50 texts were selected automatically</t>
  </si>
  <si>
    <t>- 25 texts that OSDG community labeled as "SDG 6"</t>
  </si>
  <si>
    <t>- 25 texts that OSDG community labeled as "not SDG 6"</t>
  </si>
  <si>
    <t>In the OSDG dataset, each text has an agreement score between 0 (equal positive and negative labels) to 1 (full consensus).</t>
  </si>
  <si>
    <t>Each set of the 25 texts above consist of:</t>
  </si>
  <si>
    <t>- 5 texts with agreement score &gt; 0.8</t>
  </si>
  <si>
    <t>- 5 texts with agreement score &gt; 0.6 and &lt;= 0.8</t>
  </si>
  <si>
    <t>- 5 texts with agreement score &gt; 0.4 and &lt;= 0.6</t>
  </si>
  <si>
    <t>- 5 texts with agreement score &gt; 0.2 and &lt;= 0.4</t>
  </si>
  <si>
    <t>- 5 texts with agrement score &gt; 0 and &lt;= 0.2</t>
  </si>
  <si>
    <t>For each permutation (label + agreement level), the five texts with the largest number of annotators were selected.</t>
  </si>
  <si>
    <t>Manual Selection (50 texts)</t>
  </si>
  <si>
    <t>23 texts were selected manually to try to cover the 8 targets of SDG 6.</t>
  </si>
  <si>
    <t>23 texts were selected manually to try to cover words used in the 8 targets of SDG 6 (but are not about SDG 6 according to the OSDG community "vote")</t>
  </si>
  <si>
    <t>For each target, 3 positive and 3 negative texts were selected.</t>
  </si>
  <si>
    <t>In total, 23 texts with label "SDG 6" and 23 texts with label "not SDG 6" were selected.</t>
  </si>
  <si>
    <t>Another four texts with agreement score=0 were selected.</t>
  </si>
  <si>
    <t>Text ID</t>
  </si>
  <si>
    <t>Text</t>
  </si>
  <si>
    <t>SDG 6 Label</t>
  </si>
  <si>
    <t>Comments (optional)</t>
  </si>
  <si>
    <t>28916a987986025895ff87fffe49fe94</t>
  </si>
  <si>
    <t>The conclusion of their work is that that the benefits of management or groundwater irrigation will not always be significant, and that they depend highly on economic, hydrologic, and agronomic parameters (Koundouri, 2004). There has been significant discussion in the literature on possible criteria to define when groundwater pumping is detrimental (see Chapter 2, and Llamas and Garrido, 2007). In particular, fighting against stock depletion is rarely found to be appropriate (Giordano, 2009, GWP, 2012).</t>
  </si>
  <si>
    <t>fa586ab09dfc2eb6eac06ca7d82d0916</t>
  </si>
  <si>
    <t>For example, an engagement approach might not fully address the wide range of key actors and stakeholders, the different levels at which the conflict operates, the power imbalances between parties, or local community needs, goals and cultural practices. Many processes also fail to respect the principle of free, prior, and informed consent (FP1Q, which often leads to immediate grievances within affected communities. When key stakeholders are poorly engaged, marginalized, or excluded from decision making or related engagement processes, opposition is more likely and tensions can escalate rapidly.</t>
  </si>
  <si>
    <t>b6010f622e4a7d8d0cf38ff5fc8dd1eb</t>
  </si>
  <si>
    <t>In many OECD and non-OECD countries, local governments can also play an important role in this regard. In decentralised governance systems, local authorities may be authorised to raise taxes and/or incur debt, usually within prescribed limits (OECD, 2009b). Mature capital and financial markets may provide creditworthy municipalities with capital for investment in water and sanitation infrastructure. Fiscal transfers from central budgets are also a source of investment capital in some countries.</t>
  </si>
  <si>
    <t>3c5688b66fee4ec3b7e8619aff64d0dc</t>
  </si>
  <si>
    <t>When the provision of services involves the same network there may be “joint” costs, “common” costs, or netwoik benefits. This is despite the fact that there may be some relevant differences in circumstances between particular customers that will not be closely reflected in the resulting charges. When considering issues of practicability, it is important to recognise that the availability of information is likely to evolve over time. This means that Ofwat retains the possibility of changing the way costs are assessed depending upon available information. Failing to do so raises equity issues, as future generations will have to foot the bill, either through decayed infrastructure or increased public debt. Typically, all things being equal, industry or municipalities should have an incentive to develop in regions where water is abundant and competition between water users is minimal, and they should cover the costs of a reliable access to water.</t>
  </si>
  <si>
    <t>typo</t>
  </si>
  <si>
    <t>df1aa532c8e5ee75a9edc4180034e745</t>
  </si>
  <si>
    <t>The improvement of housing provision in rural areas is achieved by considerable self-build construction of single-family houses. In cities and towrns, housing construction is mainly led by the private sector and aimed at wealthy customers, a decent housing market remains unaffordable for average households because of their low annual incomes. At present, how'ever, there is neither a policy nor a state programme for development of social housing and affordable housing for rent. Budget funding of new' construction projects for those recognized as being in need of housing improvements is scarce.</t>
  </si>
  <si>
    <t>8722a6eb8fe8fc03fbc13dc5a7097ff3</t>
  </si>
  <si>
    <t>A “problemshed” approach is very wise under many circumstances, but specific incentives also need to be set at the federal level for outcome-oriented governance at basin and state level. This is very much the spirit of the National Pact for Water Managementsigned in 2011 between the ANA and state governments to converge towards integrated water resources management (see Chapter 3). In many instances water policy reforms are difficult to put into practice because little data and information are available, particularly on the economic, financial and institutional implications.</t>
  </si>
  <si>
    <t>38fab720019cad89a08c5252e6ed7774</t>
  </si>
  <si>
    <t>The monitoring of priority substances in sediments and biota is lacking. The same applies to an emissions inventory and losses of priority substances and other relevant pollutants. Very frequently, especially when it comes to the development of the RBMP, die "expert assessment" approach is used for assessing the status of water bodies, and this "expert assessment" is not subsequently confirmed, which can be interpreted as deterioration of the status of the w'ater body.</t>
  </si>
  <si>
    <t>ebc75550971a96e8219ca6a2d91e23d5</t>
  </si>
  <si>
    <t>Driver (2002) estimated that 47 per cent of households in Trinidad and Tobago have improper title and 5 5 per cent of farmers have no proof of land ownership. Faizool (2002) noted that increasing socio-economic pressures have been accompanied by an increase in squatting especially on the upper slopes of the western half of the Northern Range, both on private and state-owned lands. One reason for the malfunctioning of the market is the failure of land-use planning to release land for development in the right place and at the right time, thus creating artificial land shortages that drive land values up and beyond the reach of the poor to purchase land.</t>
  </si>
  <si>
    <t>3629cbe6806587fc70434956aebd0c3a</t>
  </si>
  <si>
    <t>Strengthening the capacity to adapt to climate-related hazards reduces losses caused by disasters. Reducing climate change can constrain the options for energy access. Full protection of natural reserves excludes public access for recreation. This work is captured in the analytical brief Water and Sanitation Interlinkages Across the 2030 Agenda for Sustainable Development, which highlights the target-level relationships that are important to consider when developing implementation plans for SDG 6 (figure 2).</t>
  </si>
  <si>
    <t>f4384c30406c295e57936bf1d18b3bd6</t>
  </si>
  <si>
    <t>On the other hand, investments that are not coordinated with neighbouring countries may lead to inefficiency, over-capacities, energy poverty, negative environmental impacts (some through water) and political tension. Such problems are likely to be exacerbated if harmonized environmental standards are lacking. Global Tracking Framework: UNECE Progress in Sustainable Energy (United Nations, Geneva, 2017). Renewable Energy in the Water, Energy and Food Nexus (IRENA, Abu Dhabi, 2015).</t>
  </si>
  <si>
    <t>79ab4d224c82f2bfb1984d404a5049df</t>
  </si>
  <si>
    <t>On the one hand, if water bottlenecks are well managed and the change of resource availability is well anticipated, all the options available to limit the effect of water scarcity will be implemented in a cost effective way. In that case, the cost of adjusting to the bottleneck is quite low for the electricity system. On the other hand, if disruptions in the electric sector cannot be avoided, they can be very costly. Therefore one needs to take into account the cost of investments to hedge energy systems against the risk of disruption, for instance by providing more back-up generation capacity.</t>
  </si>
  <si>
    <t>16461400a112011039fd13aaf7ee3878</t>
  </si>
  <si>
    <t>More than 70 per cent of the drinking water supply of Azerbaijan depends on the Kura River. The Araz River water entering Azerbaijan is reported14 to have MACS in excess of one hundred times for copper, molybdenum and other heavy metals- it should be noted that in some parts of the basin, natural geochemical background levels for some heavy metals are elevated. As a result, river water microflora and fauna disappear, preventing the self-cleansing process. This situation is caused by mining, leather and fertilizer industries along the rivers, and the lack of wastewater treatment facilities in Georgia and Armenia.</t>
  </si>
  <si>
    <t>20cca06403a1cd11e41d31a7dc704f80</t>
  </si>
  <si>
    <t>About one third of OECD countries have achieved absolute decoupling. Groundwater withdrawal has increased in many parts of the world, at an alarming scale in India (Shah et al., Groundwater is a key source of water supply for drinking, irrigation and industrial purposes in many parts of the world. More than 60% is consumed by agriculture in arid and semi-arid regions, producing 40% of the world’s food (Morris et al.,</t>
  </si>
  <si>
    <t>d2eb9f0f554ab2f0677525dbdc30c8fa</t>
  </si>
  <si>
    <t>There is a 56% shortage of environmental impact management officers at the provincial level (DEA, 2010). Many municipalities have no staff positions dedicated to environmental management. The number of vacancies is high because of a combination of factors, including high staff turnover and low wages due to the lack of funding. This affects the ability of environmental departments to attract and retain staff.</t>
  </si>
  <si>
    <t>2d938086b19a3faab6033c2d7ea3a1bb</t>
  </si>
  <si>
    <t>In order to ensure a proper co-operation between the different levels of government in the management of water resources, the constitution of the Committees of Competent Authorities should be accelerated. This enhanced participation should take place through the appropriate institutions, including in the river basin authorities. The law should allow the inclusion of environmental and scarcity costs in water prices.</t>
  </si>
  <si>
    <t>b59bdaec80528f7627ddabe04ce23c66</t>
  </si>
  <si>
    <t>Hydropower production is common in the upper part of the basin, and cascades of dams form big reservoirs.87 Many small dams arc used for irrigation purposes and fish-breeding. In Turkey, seven dams and one regulator are under operation on the Ergenc River and its tributaries, serving irrigation, flood control and some drinking water supply purposes (15% of drinking water of Edime and Kirldareli cities is supplied from two reservoirs, Suloglu and Armagan). There arc also 53 small dams located on several tributaries used for irrigation.</t>
  </si>
  <si>
    <t>value neutral?</t>
  </si>
  <si>
    <t>d1891dd1d03c8ebdfd2d67a8cfd01471</t>
  </si>
  <si>
    <t>They have been variously combined in different frameworks, thus emphasising certain universal aspects of governance (Lockwood et al., It specifically addresses the issue of coherence and co-ordination of public action to achieve water policy outcomes, such as sustainability, efficiency, equity, rule of law, accountability and participation. It can therefore only provide a partial response to the ongoing water governance debates.</t>
  </si>
  <si>
    <t>652c12625bcb6673391076e477d1693b</t>
  </si>
  <si>
    <t>Further pressures include disturbances from fishery and by-catch of birds and otters, oil extraction and transportation (with the danger of regular and accidental spills), solid waste disposals, invasive exotic species of plants and fishes, high numbers of wild boars, reed-burning, unsustainable collection of medical plants, landslides, and more frequent occurrence of drought periods. Diminishing rural populations is a problem, because traditional practices have become part of the functioning of the ecosystem, and lively rural areas have an important tourism potential. This initiative was triggered by and receives support from WWF.</t>
  </si>
  <si>
    <t>target 6.6</t>
  </si>
  <si>
    <t>8f71fd7821f9045bb3a7eba465715d0a</t>
  </si>
  <si>
    <t>Catchments are much smaller and are aggregated into river basin scale to satisfy the requirements of the EU Water Framework Directive (WFD) (2000). Rivers and wetlands of national and international significance are protected and improved by means of the most cost-effective measures. For non-designated rivers, action must be cost-beneficial.</t>
  </si>
  <si>
    <t>b64c9c56bc6b8ec642b7a9048563fe6f</t>
  </si>
  <si>
    <t>Other shortcomings identified were weak legal security, and insufficient staff and financial resources. The white-tailed eagle, the corncrake and the endemic marble trout have benefited from targeted measures. Of the large carnivores, a brown bear protection plan helps to safeguard this species’ favourable conservation status. Slovenia, jointly with Croatia, has initiated a plan for the wolf, while efforts to protect the lynx are still at the discussion stage. Many other species are in need of targeted measures in addition to habitat protection. The cormorant is being managed because its abundance is causing a depletion of fish stocks.</t>
  </si>
  <si>
    <t>4374e1d5e1334d393a5aadc4a14e33b9</t>
  </si>
  <si>
    <t>This body is currently drafting guidelines for achieving good environmental status for the coastal waters of the Black Sea, in line with the EU WFD. The Commission on the Protection of the Black Sea against Pollution and ICPDR are both members of the DABLAS Task Force29, set up in 2001 as a platform for cooperation between international financing institutions, donors and countries of the region to ensure the protection of water and water-related ecosystems in the Danube and the Black Sea. One is that of the ICPR and the OSPAR Commission, which promotes international cooperation under the Convention for the Protection of the Marine Environment of the North-East Atlantic (1992).</t>
  </si>
  <si>
    <t>99d4eba28f148843d2036f7a23cf7dee</t>
  </si>
  <si>
    <t>Disputes can therefore appear at local, regional, national, or transboundary levels. The risk of conflict escalation is higher in situations where two or more sets of actors with unequal power face increasing water scarcity without access to alternatives or coping mechanisms. At the same time, however, shared water resources can serve as a platform to build cooperation between parties in conflict. Whether water resources generate conflict or cooperation between competing users often depends on the governance systems in place.</t>
  </si>
  <si>
    <t>809ebb031a44857dd32ff15b611b6ab9</t>
  </si>
  <si>
    <t>Well-designed intergovernmental transfers can create incentives for improved financial sustainability and creditworthiness of local jurisdictions, eventually helping to decrease demands on central budgets. As with central authorities, the 3Ts (taxes, tariffs and transfers), including inter-governmental transfers, are the ultimate source of finance, since other forms must be repaid or provide compensation. These may include grants, funding programmes and specific agreements that can be included in contracts.</t>
  </si>
  <si>
    <t>e49d2e1bc2447cfef475797fc80f5584</t>
  </si>
  <si>
    <t>That information is used to manage dams and water bodies, minimising risks of floods and droughts. This application enhances K-water’s capacity to deliver its mandate on water quantity management and prevention of scarcity and flood risks. It can serve similar purposes abroad, where other agencies have a similar mandate. Water suppliers in Korea are confronted with the need to renew existing infrastructure, as ageing affects its performance, in particular as regards leakage.</t>
  </si>
  <si>
    <t>61a92834143e5bca6411bd1146846b37</t>
  </si>
  <si>
    <t>The process was first carried out in 2004, and led to additional funding allocated to HIV/AIDS projects, “which topped the economists’ “to do” list”. Similarly, biosand filters was the intervention with the lowest risk of a BCR below 1. In the final overall ranking, WSS interventions came in about 15th to 20th position (over a total of 30 interventions), whereas health interventions to address malnutrition (such as micronutrient supplements or community-based nutrition promotion) came towards the top, largely due to their comparatively low costs and fast payback periods. It does so by comparing the effectiveness of various health interventions based on the estimated cost per DALY averted (see Box 5.4).</t>
  </si>
  <si>
    <t>70a60926e08ab52d30a91f2a0761156b</t>
  </si>
  <si>
    <t>In particular, small farmers and indigenous communities are still under-represented, and greater participation of irrigation districts and units would contribute to the sustainability of catchments and the balance of aquifers. River basin organisations and river basin councils report to different constituencies and there are only limited platforms to share concerns and take consistent and mutually beneficial decisions. Coordination is currently undertaken on an ad hoc basis.</t>
  </si>
  <si>
    <t>target 6.b</t>
  </si>
  <si>
    <t>5e77b7a91a5f55f88b3481631d87edec</t>
  </si>
  <si>
    <t>Part A: Global and Sectoral Aspects, Contribution of Working Group II to the Fifth Assessment Report of the Intergovernmental Panel on Climate Change [Field, C.B., et al. ( Cambridge University Press, Cambridge, United Kingdom and New York, NY, USA, 1132 pp. Cambridge University Press, Cambridge, United Kingdom and New York, NY, USA. Cambridge University Press, Cambridge, United Kingdom and New York, NY, USA, 1535 pp. An Overview of IMAGE 2.4. Netherlands Environmental Assessment Agency, Bilthoven.</t>
  </si>
  <si>
    <t>2d245d679656f8b7e1a53aaa3d120c5d</t>
  </si>
  <si>
    <t>Following the creation of modern nation states in Western Asia starting in the first half of the 20th century, most of the region's major rivers and many aquifer systems were found to cross political borders. However, their management did not emerge as a major problem until increasing freshwater scarcity exposed dependencies on internationally shared water resources. Large-scale irrigation projects boosted investments in and socio-economic dependencies on the water and agricultural sectors.</t>
  </si>
  <si>
    <t>9d35607cbfdf2c3f8b93007cfe292aa9</t>
  </si>
  <si>
    <t>These lags could be overcome by devoting more resources to meeting international commitments and by giving greater economic and diplomatic priority to the environment. It also examines performance against the targets in the 2001 OECD Environmental Strategy. Emissions of non-methane volatile organic compounds (NMVOC) should meet the reduction target set by the EU Directive on National Emission Ceilings (NEC) for 2010. S02 concentrations have been kept well below the authorised limit value for the protection of human health. Limit values for fine respirable particles (PM10) have never been exceeded. A national target has been set to have 25% of home-work commuting covered by public transit by the year 2020.</t>
  </si>
  <si>
    <t>19342223e7f9c869d6b6026fac27fc06</t>
  </si>
  <si>
    <t>The subsequent modifications to TERM-H20 aimed to improve on this performance by separating irrigated and dry land activities and allowing for greater factor mobility between them (Glyn Wittwer 2012). With demand rising for both resources and increasing challenges from climate change, water scarcity can threaten the long-term viability of energy projects and hinder development”. At least two-thirds indicate that water is a substantive risk to business operations.”</t>
  </si>
  <si>
    <t>6febf6ade30f1479377197911276104d</t>
  </si>
  <si>
    <t>It increased in 2007, as a result of the legal obligation imposed on oil companies to incorporate biofuels into petrol and diesel sold in Luxembourg. Currently, renewable sources account for 9.5% of total electricity production. However, Luxembourg covers more than half of its electricity needs through imports. The indicative target for electricity produced from renewable energy sources as a share of gross electricity consumption is 5.7% for 2010.</t>
  </si>
  <si>
    <t>70589bbd2329b9f9ab6ddf9f149c36e8</t>
  </si>
  <si>
    <t>It contributes to the Multilateral Carbon Credit Fund of the European Bank for Reconstruction and Development (EUR 10 million), to the Carbon Fund for Europe sponsored by the World Bank and the European Investment Bank (EUR 10 million), to the Asia Pacific Carbon Fund of the Asian Development Bank (USD 15 million), to the Community Development Carbon Fund (USD 10 million) and to the BioCarbon Fund (USD 5 million) of the World Bank (Table 7.2). Source: Draft 2010 budget. It calls for Luxembourg to: improve energy efficiency by 9% between 2001-05 and 2016,8 reduce GHG emissions by 20% below their 2005 levels, achieve an 11 % share of renewable energy in total energy consumption by 2020, and achieve a 10% share of biofuels in total transport by 2020.</t>
  </si>
  <si>
    <t>d359cb9f134eaf9aeb3a0ce32dbe41b8</t>
  </si>
  <si>
    <t>Such schemes can complement mandatory standards by providing an incentive for property developers to respond to market demands for higher energy and environmental standards. In the same way, industry-based standards can also help encourage further energy-enhancing retrofitting. Governments can also play a facilitating role by filling information gaps through the initiation of building energy audits which can be used as the basis for energy management contracts.</t>
  </si>
  <si>
    <t>e6deb01712a9e9fb1f9075937685fcf8</t>
  </si>
  <si>
    <t>Although the Almaty Guidelines are not specifically targeted at joint bodies for transboundary water cooperation, they represent a comprehensive and up-to-date guidance on forms and mechanisms for public participation that can be applied by joint bodies. For example, an Ad Hoc Public Participation Expert Group acts in the framework of ICPDR. In the period 1999-2004, the Joint Russian-Estonian Commission on the Protection and Rational Use of Transboundary Waters had a working group on cooperation with NGOs, local authorities and international organizations. However, the Commission reformed its working groups, and the functions of this working group were transferred to the new working group on IWRM.</t>
  </si>
  <si>
    <t>ea42a24c2cac68bfe035ec4ac399fce6</t>
  </si>
  <si>
    <t>The water quality impacts may be caused by the use of agrochemicals in intensive bioenergy feedstock production systems, such as the use of fertilisers which pose a risk for eutrophication. In addition, the feedstock processing plants to convert raw materials to bioenergy can also have impacts on water quality, although this will vary depending on a range of factors, including for example, biorefinery technology, effluent controls and water recycling practices (FAO, 2008, Fingerman et al., As a result sediment and nutrient pollution from agricultural land is likely to increase, particularly where maize is cultivated on marginal agricultural land which contributes to the highest nutrient loads.</t>
  </si>
  <si>
    <t>c4a4a98d9d74ab0062b48951acca73a7</t>
  </si>
  <si>
    <t>An instrument such as the Pact could be used to accompany such a gradual devolution of responsibility. There are basins where charges have been applied at federal level, but not yet at all state levels, as in the case of the Sao Francisco, Doce and Paranaiba River basins.5 This may also create limitations in terms of the financial autonomy of the water agencies, given the fewer resources available (ANA, 2016). Some delegated water agencies have to deal with both federal and state authorities and face difficulties in applying different set of rules, inspections and more or less stringent regulation.</t>
  </si>
  <si>
    <t>f0bc4b73f16d3b62eb806a04af3d0222</t>
  </si>
  <si>
    <t>However, there are also many places where serious household affordability issues prevent further increases, unless social protection measures are being introduced (OECD, 2009a). This is especially true where household affordability is an important constraint. In order to be efficient and effective, however, subsidies should be predictable, transparent, targeted and ideally taper off over time.</t>
  </si>
  <si>
    <t>5147cdb8c7158ecba32965be95434318</t>
  </si>
  <si>
    <t>It publishes an annual information bulletin on the state of groundwater and its use. The Ministry of Health publishes a monthly information bulletin on hygiene, ecology and human health. These bulletins are circulated among the public authorities in a limited number of copies. They are not easily available to the public, neither are they available online. These cover the following: air emissions and their treatment, forest areas, reforestation, and the harvesting of non-wood products, fish hauls and reproduction at fish farms, land reclamation, protected natural areas, current costs of environmental protection, and payments for environmental pollution.</t>
  </si>
  <si>
    <t>72ddbab185161bc29cc0a669b8190fb4</t>
  </si>
  <si>
    <t>This subcomponent organizes environment statistics on land cover, ecosystems and biodiversity, as well as their recordable changes over time and across locations. Land cover is defined by FAO as “the observed (bio) physical cover on the earth’s surface. Ecosystems can be broadly defined as a community of organisms, together with their physical environment, viewed as a system of interacting and interdependent relationships. Biodiversity is the variability among living organisms from all sources including terrestrial, marine and other aquatic ecosystems and the ecological complexes of which they are part, including diversity within species, between species and of ecosystems.29 It is also a measure of ecosystem health.</t>
  </si>
  <si>
    <t>6d575d433b69337ce08917e4f3f56c00</t>
  </si>
  <si>
    <t>It is common to find projects focused on rural or peri-urban areas to try to close access gaps with urban areas. Affordability concerns are already being integrated in project preparation in many water sector projects. However, the equitable access dimension related to vulnerable and marginalized groups is rarely considered (with maybe the exception of schools and healthcare centers).</t>
  </si>
  <si>
    <t>f72d147b3500128afee6e9e36da0c7f0</t>
  </si>
  <si>
    <t>The FASRB integrated all aspects of water resources management, and became the framework of cooperation among the Parties to the agreement. The four Parties to the FASRB financially support, on an equal basis, the operation and the work under the ISRBC and its Secretariat. Costs of activities that fall under the interest of a certain country(ies) may be financed by them.</t>
  </si>
  <si>
    <t>ef53387dd06ba3d66ec8984b832cae34</t>
  </si>
  <si>
    <t>As such, IBCC has been helpful in co-ordinating between various local conservancy districts with state-level agencies and local stakeholders. This is useful in so far as there are so many conservancy districts in Colorado that almost none have jurisdiction over an entire a river basin. In order to account for all alternatives, co-operation is therefore necessary.</t>
  </si>
  <si>
    <t>What do we do with abbreviations / names?</t>
  </si>
  <si>
    <t>b48e59c156f18e59d3d4aa5df7749b5e</t>
  </si>
  <si>
    <t>Equally, the Nile River headwaters originate outside the ESCWA region and serves as the primary source of freshwater for Egypt and the Sudan, the latter of which under-consumes its water allocation, thereby allowing additional supplies to flow to Egypt. While Lebanon shares several river basins with its neighbours, relatively high precipitation rates, short river courses and snowmelt generally provide the country with sufficient water supplies. Climate change is expected to have adverse impacts on these shared water resources. These include wastewater treatment and reuse, agricultural runoff reuse and desalination.</t>
  </si>
  <si>
    <t>22df3b2c7ca1094a5156b960210f4283</t>
  </si>
  <si>
    <t>It addresses ongoing and future water risks and identifies what complementary role governments may play in that setting. Water risks that farmers face exogenously—which will be denoted as exogenous risks—including those related to climate change and competing water demand on which an individual farmer (and food company) has limited effect. In contrast, endogenous water risks are risks to which an individual fanner (or company) contributes, e.g. nutrient runoffs leading to water pollution or intensive groundwater use leading to aquifer depletion.</t>
  </si>
  <si>
    <t>55c60103d7e2e1c6ed363d26dc4eadf0</t>
  </si>
  <si>
    <t>Typically, species diversity is low, and a portion of the ecosystems are isolated ecological islands, ecosystems that are not in a direct connection to other similar environments. This causes these ecosystems to be highly vulnerable to disturbance, often unique, and plausibly non-restorable. Additionally, summers are short and characterized by relatively low average temperatures.</t>
  </si>
  <si>
    <t>17957cb0092746082b3e77c2f60f5518</t>
  </si>
  <si>
    <t>This challenge is compounded by the difficulty in assigning value to the “costs” borne by local communities. The market costs are well understood and relatively straightforward, but the costs to communities are more complex. Typical concerns or “costs” cited by communities include changes to landscapes, nuisance (e.g. noise or shadow flicker), environmental impacts (e.g. wildlife and water quality) and the potential for reduced property values (Hubert and Horbaty, 2011). Many communities also feel excluded from the decision-making processes concerning the sites and technologies selected for their area (Bryden, 2010).</t>
  </si>
  <si>
    <t>cae6a1b4f3c107681c333bf075f0c09f</t>
  </si>
  <si>
    <t>The OECD guidelines for good practice set forth a number of options that could be considered to support efforts to move toward the sustainable management of water quality in agriculture. The greater use of economic instruments (e.g. water quality trading, pollution taxes) to address non-point source pollution can improve the cost effectiveness10 of measures. While water quality trading has the potential to lower the cost of achieving improved water quality, in practice, experience w ith such programmes remains fairly limited to date.11 Design features (e.g. scale, compliance requirements, transaction costs) have an important bearing on their overall performance in reaching environmental and efficiency objectives. Current efforts to advance sustainable agricultural practices (including, for example, “precision agriculture”) could be considerably scaled-up and provide opportunities for green growth.</t>
  </si>
  <si>
    <t>a672b4fe42af48f0a703345db8d04626</t>
  </si>
  <si>
    <t>The Darkosh records show a minimal, though statistically significant, negative trend (Figure 6). From Darkosh onwards, if not before, the Orontes can be considered a regulated river. Despite data gaps, the latter shows a quite regular variability,'8with drier and wetter periods compared to the mean, and no extreme drought or flood periods (Figure 6). Generally, the downstream station Jisr al Shughur (15,130 km2) exhibits a high-flow season from December to May and a low-flow season from June to November.</t>
  </si>
  <si>
    <t>07186646875f29ddd34fee7b2bad20b7</t>
  </si>
  <si>
    <t>Of 30 contracts signed, 25 corresponded to a purely contractual PPP (concession) and 5 to institutionalised PPPs (mixed companies). The trend before 2004 should be treated with caution, as waste classification in Portugal was subject to change following the requirements of the EC Regulation on waste statistics (2150/2002/ EC). They integrate seven waste management units: classification (including laboratory), sorting and transfer, stabilisation, organic waste treatment, recovery of contaminated packaging, soil decontamination, physico-chemical treatment, and hazardous waste landfill.</t>
  </si>
  <si>
    <t>b5990d00737da469b28751169d72b6f0</t>
  </si>
  <si>
    <t>Air, water or soil pollution due to activities in human settlements causes continuous environmental change that can have damaging effects on agriculture, water resources, the energy sector and human health. The capacity or the resilience of the environment to cope with the environmental impacts caused by human habitation can influence both the health of the human settlements and the natural environment with which it is associated. The well-being and health risks associated with the environment (and those posed by extreme events and disasters) can be mitigated substantially by the prevailing conditions and characteristics of human settlements.</t>
  </si>
  <si>
    <t>8615f10cabb14e51d7c23e48827e3380</t>
  </si>
  <si>
    <t>The PROTAR (Wastewater Treatment Program) programme prioritises wastewater treatment works that belong to inter-municipal systems and does not provide support for rehabilitating a work before five years. Investments to increase efficiency increased (in constant 2008 prices) from 2002-2008 from MXN 1.5 billion to MXN 4.0 billion (CONAGUA, 2011c). However, this only represents an increase from 11.5% to 13.6% of the total sub-sector investments.</t>
  </si>
  <si>
    <t>7d22327b136ce7dd3a9760a183e1d9f0</t>
  </si>
  <si>
    <t>An inclusive culture that engages women in the design, operation, and maintenance of water and sanitation systems leads to better responsiveness and customer satisfaction. As satisfaction increases, so does willingness to pay for services and maintenance of water systems, which is key to sustainability. Its targets 6.1 and 6.2 are measurable by access to safely managed drinking water and sanitation services, coupled with hygiene promotion and an end to open defecation. Special attention is paid to gender and social inclusion, which brings sustainability into focus. Other targets respond to the environmental considerations and needs, along with a focus on international cooperation and capacity-building support to developing countries in water and sanitation-related activities and programmes.</t>
  </si>
  <si>
    <t>7a9487042d8a39f2be26b5b50d5f6b16</t>
  </si>
  <si>
    <t>Another obstacle to proper implementation of the WFD is the conflict between national authorities and the regions, as well as regulatory uncertainty due to the perception of continuous changes in the institutional framework. Indeed, when the river basin authorities became river district authorities, the central government acquired more power regarding river basin management while the distribution of power among the state and the regions had previously been more clearly defined. The district authority is now considered a source of conflict between the state and regions, instead of being a planning and co-ordinating authority.</t>
  </si>
  <si>
    <t>dd75c3b7d41b6066b59ba98391b91cb7</t>
  </si>
  <si>
    <t>The local government can facilitate the exchange of good practices and knowledge acquired though the rural-urban partnership, promoting evaluation of the initiatives and sharing information. They provide useful vehicles for translating national policy design and implementation at the local level, increasing national policy effectiveness. Also, regions and cities are responsible for much of the service delivery and public investment that determines economic growth and people’s well-being.</t>
  </si>
  <si>
    <t>065f93a6e94aa95444f1515fe801ea0c</t>
  </si>
  <si>
    <t>The partnership aims to promote public awareness and involvement in projects to conserve and protect freshwater ecosystems relating to the Danube River basin. In 1974, the member countries of the Intergovernmental Coordinating Committee of La Plata Basin Countries created the Financial Fund for the Development of the River Plate Basin (FONPLATA). The mission of IFAS is to fund joint environmental and research programmes and projects aimed at saving the Aral Sea, improving the environmental situation in the areas affected by the disaster and addressing common social and environmental challenges in the subregion.</t>
  </si>
  <si>
    <t>8dd04597ba512ba94dc6d0f17a9f3eb3</t>
  </si>
  <si>
    <t>38951c3b4c7f6b14ce6a52cf0e6a0358</t>
  </si>
  <si>
    <t>The green economy must not disturb the balance of the pillars of sustainable development. It was quite noticeable that the mistrust of the intent of the green economy, as expressed by some governments in the Rio+20 process, was a factor in the national consideration as there were lingering concerns on interpretation and implementation modalities. In this regard, the community-based organisation (CBO)/NGO responses were highly focused on social development, poverty eradication and livelihood issues. He outlined, ‘We accept that our tools will include a green and a blue economy based on various national approaches.</t>
  </si>
  <si>
    <t>e66c44a60b2654e8ad4eb472245e01cc</t>
  </si>
  <si>
    <t>By 1985, Saudi Arabia had 24 desalination plants, including 17 plants on the western coast along the Red Sea and 7 plants on the east coast along the Arabian Gulf. These plants were producing 1.82 million m3/day and 3,630 MW of electric power. More than 70 per cent of that country’s water needs are provided by desalination, and its plants currently generate more than 4,600 MW of electric power. In 2008, the total amount of desalinated water produced by Saudi Arabia was an estimated 10.6 million m3/day.</t>
  </si>
  <si>
    <t>b4b85decabf7c989befd4831111d090a</t>
  </si>
  <si>
    <t>Despite the number of payments to consider, it is not clear whether, or how, the government can afford to meet its financial obligations. The government - through the Ministry of Finance - guarantees the WAJ’s and MWI’s loans and is obliged to fund their deficits. The government records these amounts as debt in the general budget. The Ministry of Finance has also provided sovereign guarantees for some projects with the private sector.</t>
  </si>
  <si>
    <t>34172c2768503fc420efddcf0103021c</t>
  </si>
  <si>
    <t>These included Acts on integrated pollution prevention and control (2003), environmental information (2004) and trading of emission allowances for greenhouse gas emissions (2004). At the same time, many existing Acts were amended and complemented by regulations. For example, a new Air Act was adopted in 2010, replacing the 2002 one, to transpose the EU directive on ambient air quality and cleaner air.</t>
  </si>
  <si>
    <t>27e389324f83149986c8ee1761c6d4ce</t>
  </si>
  <si>
    <t>Further to the Kenyan Water Act of 2002, the small water project has to sign a Service Provision Agreement (SPA) with the Water Service Board (WSB) in whose jurisdiction it falls (for example, the Athi Water Services Board-AWSB for the area surrounding Nairobi). Upon successful completion of the project, the Global Partnership for Output-based Aid (GPOBA) pays subsidies to the small piped water project (figure below), which reduces the overall size of the loan to the communities, and keeps debt service payments affordable. It also provides better risk management from the lender’s perspective and increases incentives for project completion as the subsidy is transferred upon the delivery of agreed outputs (including the increase in the number of connections and changes in revenues collected).</t>
  </si>
  <si>
    <t>31de0d3a2c3847458708788524b672b0</t>
  </si>
  <si>
    <t>In Spain, there was significant discrepancies in elasticities of irrigation water, based on water scarcity and crop patterns. Elasticity was higher where water is abundant and lower where water is scarce (because water uses are already efficient). Elasticity is low for high value crops. In developing countries, where irrigation water can be very cheap, even significant price increases (in %) may fail to trigger changes in farming practices.</t>
  </si>
  <si>
    <t>bc111077debeb960bd0f35a402a342ab</t>
  </si>
  <si>
    <t>Out of 223 river water bodies on the Tisza River and its tributaries, 75 were designated as heavily modified (75 with final status, 4 with provisional status and 2 have unknown status) representing 34% of the total river water bodies. In the Ukrainian part, a large part of the landfills for solid municipal waste have exceeded their design capacity. Flood events, including the floods in August 2002, highlighted the problem of inundation of landfills, dump sites and storage facilities where harmful substances are deposited.</t>
  </si>
  <si>
    <t>a3a6e761af83aadfb44553aed4db1def</t>
  </si>
  <si>
    <t>Strategies are in place to improve water supply conditions for the overall population. The complicated complex of governmental authorities includes a number of ministries and institutions which are responsible for the implementation of governmental water programmes. These programmes are mainly funded by the Government. There are two line ministries, MoWE and MoNP, responsible for water resource management and water protection.</t>
  </si>
  <si>
    <t>8e8b058d2a9ce348b4adad97a96ab038</t>
  </si>
  <si>
    <t>Major agriculture exporters, such as Australia, Brazil, Chile, or European nations, gain in global market shares. In contrast, beef and dairy markets remain largely unaffected. The absolute size of trade change depends on the initial volume of trade flows, net trade changes can result in shift in the direction of trade flows, which should be accounted for when interpreting these results. There is no single authority representing both Turkish and Greek Cypriot people on the Island.</t>
  </si>
  <si>
    <t>54f86f9542fbc772baa653ca6bf0f07a</t>
  </si>
  <si>
    <t>The Government should also support information sharing, research studies, seminars, and promotion campaigns. A special funding line could be initiated at the SCWS for such studies, which should be administered in a competitive manner. The Government, with I FI support, should support several carefully chosen ICU pilots for sanitation, in order to demonstrate the accrued benefits.</t>
  </si>
  <si>
    <t>sanitation</t>
  </si>
  <si>
    <t>fbb38d6491a2a5a0f1eb50f3d54d3b60</t>
  </si>
  <si>
    <t>Traditionally used by governments or public entities, PCG are also being more recently used by sub-sovereign governments, municipalities and private companies to borrow domestically from commercial banks or issue in the domestic capital market in local currency. A Partial Credit Guarantee can lift the borrower’s credit rating above a critical threshold, at which access to the market is possible. The guaranteed coverage level is set to achieve a target bond rating to facilitate bond issuance, or at a level required to encourage commercial bank lenders to participate.</t>
  </si>
  <si>
    <t>5619c4f85caff3c0d9c50dd5650589fa</t>
  </si>
  <si>
    <t>This should be a key concern when selecting stakeholders to participate in advisory boards, working groups or assemblies. The relatively informal nature of meetings and workshops can foster both deliberation and build a sense of community. They provide an open atmosphere which makes participants generally more willing to discuss issues and maximises dialogues on issues that may not have come to light through more structured mechanisms. For instance, meetings and workshops are flexible in terms of timeframe and scale (from community meetings to international conferences) and can apply to a wide range of issues (e.g. from discussing a municipal sewer project to debating on transboundary basin management agreements).</t>
  </si>
  <si>
    <t>5bd1dd6f11c6aec7cdadbbcac9434026</t>
  </si>
  <si>
    <t>However, it faces a growing number of challenges, including deteriorated main routes and worsening traffic congestion. Service quality has declined as the system has not been able to keep up with demand, which has encouraged greater use of alternatives, including private vehicles. Programme implementation needs careful monitoring and analysis, as such regimes can create incentives to increase the private car fleet. Bogota also closes road segments for selected hours on holidays and weekends, creating an additional 121 km of pedestrian and bike path called Ciclouia.</t>
  </si>
  <si>
    <t>cc4f9d63f277926b95defe57aba142c4</t>
  </si>
  <si>
    <t>It was generally agreed, however, that the reforms in greening the energy sector were principal for determining Grenada’s low-carbon development pathway. The energy sector was seen as the fulcrum for green economy implementation. Green economy policies in tourism are therefore seen as necessary to balance the seemingly competing objectives. The tourism sector is recognised as the single largest source of foreign exchange earnings, income and employment generation, and an important contributor to general economic activity and social development.</t>
  </si>
  <si>
    <t>49f169f69ad6dee7534832988c1addd4</t>
  </si>
  <si>
    <t>Despite the limited amount of data made available thus far, a significant number of predictions stress the vulnerability of water resources in Central Asia. An increase in air temperature and a short-term increase in river flows, due to the melting of glaciers, is one such likely consequence. In the long term, river flows arc predicted to decrease, and the levels of aridity and evapotranspiration to rise, which would increase irrigation requirements for water and increase the risk of scarcity and droughts. The willingness of all the riparian countries to cooperate, establish an open dialogue and compromise to find a consensus between their positions is necessary for agreement.</t>
  </si>
  <si>
    <t>5cf5294408ef796654869a85377622d1</t>
  </si>
  <si>
    <t>In Mexico, Scott and Shah (2004) advocate to downsize pump capacity while increasing irrigation efficiency, and to shift to lower-water-demand crops to address long-term groundwater overdraft. Regions with increasingly scarce water resources are encouraged to move from "more crop (and jobs) per drop" to "more cash and nature per drop" (Lopez-Gunn et al., They may be worth considering especially in situations of increasingly visible scarcity or externalities so long as they are built on sufficient information about the hydrogeology and that they support a larger regulatory framework.</t>
  </si>
  <si>
    <t>1eca910742f0434b93cbfacb51f112f0</t>
  </si>
  <si>
    <t>This chapter therefore focuses on those linkages where maximum benefit can be derived in terms of water for people, for a healthy environment and for the economy. This reflects the integrated, indivisible and interlinked nature of all SDGs. Water and sanitation have a particular role to play in the 2030 Agenda, because of their centrality to each of the three dimensions that cut across all SDGs (society, economy and environment).</t>
  </si>
  <si>
    <t>2ad883c0994d7465243ccebaacffa9fd</t>
  </si>
  <si>
    <t>Nonetheless, heavy traffic is the major cause of repeated exceedances of standards for NOx and tropospheric ozone in the capital city of Luxembourg (Chapter 2). Around 3.5% of the national population under 15 years lives in proximity to a major road, the highest proportion (together with Belgium) in the EU15. These children are at high risk from air pollution, noise and traffic accidents (Dalbokova et al.,</t>
  </si>
  <si>
    <t>2b089c95518b64a19eb99b95f0872983</t>
  </si>
  <si>
    <t>The technical capacity of individual establishments to respond adequately to environmental protection and resource management questions is also an important factor. Annual corporate environmental protection expend!* To provide a holistic view of a country’s efforts towards sustaining and protecting the environment, policymakers, analysts and civil society require statistics on environmental governance and regulation at the national level. The magnitude of these activities can inform about the extent of institutional development, availability of resources, and the existence and enforcement of regulatory and market instruments whose primary purpose is to protect, regulate and manage the changing environment. Successful national environmental governance requires institutional strength, as well as regulatory capabilities.</t>
  </si>
  <si>
    <t>293539159874fe17f32fe069c99f9d42</t>
  </si>
  <si>
    <t>While the increase is modest as a percentage change, it is considerable in coverage when viewed as a net number. This reflects the high population growth rates in Arab countries and the importance of pursing water-related investments for increased service provision for the un-served as well as keeping pace with population growth trends.27 Figure 8 compares access to drinking water from the “piped on premises” source (or house connection), other improved sources and unimproved sources for the years 1990 and 2011. Despite the lack of complete data sets for all Arab countries, available national averages were used in calculating the regional average in order to compare and report on the progress of access to drinking water sources and sanitation facilities in the Arab region during the period 1990-2011. It is therefore important to highlight that the presented number of population with access to improved water sources and sanitation facilities at the regional level are approximate.</t>
  </si>
  <si>
    <t>00864801b442bb957360e47bfe0575d9</t>
  </si>
  <si>
    <t>More males than females suffer and die from diarrhoea in every region except South-East Asia. Absence or inadequate provision of public toilets for women reflects - and reinforces - women's exclusion from public power and public spaces more generally. Yet many millions of people in the world lack even the most rudimentary means of obtaining safe water, while billions do not have sanitation facilities that are protected from outside contamination (UN 2015, UN 2014, UN-Women 2014, WHO and UNICEF 2014). Water and sanitation access, demand, provision, priority, health, organization and policy are gendered, even if this is manifested in different ways in different places. The gendered dimensions of the water, sanitation and hygiene (WASH) sector are increasingly reflected in public policy agendas, but concrete results have been partial and uneven. Water was generally thought of as a physical resource whose provision was determined, for the most part, by the hydrological cycle and physical infrastructure.</t>
  </si>
  <si>
    <t>9a7cdadf30f254a2a1d8a9922ea5d212</t>
  </si>
  <si>
    <t>R&amp;D efforts (the environmental component of the CORE Programme), ecotechnologies (the new 2009 Action Plan), energy savings (2008 National Energy Efficiency Plan) and the promotion of public transport are all part of a new conception of the environment as an economic opportunity. But as Luxembourg looks ahead post-crisis, it is not certain that environmental action will receive greater priority, beyond the country’s European commitments. Health risk factors, and environmental ones in particular, are regularly checked and the results are often published.</t>
  </si>
  <si>
    <t>19b24785bedfd95c65044687cf41f00b</t>
  </si>
  <si>
    <t>Recommended actions in sphere (2) and then (3) are conditional on the efforts undertaken at the hotspot location and may become secondary if hotspot level risks are well managed. Source: Author’s own work. As for most regions, water risk hotspots require well-functioning generic water policies (OECD, 2016a).</t>
  </si>
  <si>
    <t>9d780eb4d608fe75e993e742cd33ad4b</t>
  </si>
  <si>
    <t>This should be done in a manner that does not undermine local structures and processes, but ensures coherence with the national system. Some checks and balances may be required regarding local mechanisms to ensure a degree of due process or to protect against certain types of discrimination. In turn, mechanisms may be needed to ensure locally achieved resolutions are then protected within the broader national system.</t>
  </si>
  <si>
    <t>cc1b7fe84afc8a47db39bdb6db940be9</t>
  </si>
  <si>
    <t>Past resettlement projects often turned out to be ineffective: the resettled households were not satisfied with their living conditions in the new location (due to insufficient financial support for construction of houses there, inappropriate quality of soil in the allocated land for agriculture, lack of employment opportunities, etc.) At the same time, there remains the problem of previous spontaneous individual housing. The Master Plan of Dushanbe (approved in 1983 and adjusted in 2010) provides for demolition of tire "kibit" buildings made of traditional cob material in the central part of the city, which have total floor space estimated at about 750,000 nr, with an eye to using tire land for construction of multi-storey residential buildings.</t>
  </si>
  <si>
    <t>e7d0caa61cf42540dd0ca8c7340ce76f</t>
  </si>
  <si>
    <t>Some attempts have been made at decoupling the fuel energy that goes towards electricity production and desalination. A previous ESCWA report on desalination quoted die energy attributable to desalination in a cogeneration plant as 162 MJ/m3 for MSF plants.40 Another study calculates the energy costs attributable to cogeneration desalination for MSF and MED as 170 MJ/m3 and 96 MJ/m3, respectively.41 Table 4 shows the energy amount and type required by RO, MSF and MED plants (stand-alone and cogeneration). While oil is used for illustration purposes, other fuels can also be used to power desalination.</t>
  </si>
  <si>
    <t>c87e2dd901541e5315a4c845700ee5ac</t>
  </si>
  <si>
    <t>In the first instance, the conclusions should be awaited of an EU project currently examining this issue. The initiative for scoping and implementing PES can be left to local communities acting with other key local stakeholders, w ith potential support from international networks and NGOs. Pollution of rivers and lakes in Eastern parts of Georgia is of concern both to Georgia and to the dowmstream parts of Western Azerbaijan.</t>
  </si>
  <si>
    <t>80fd4218bcf7332965547a9961a6b1a6</t>
  </si>
  <si>
    <t>The new law (passed by the Danish parliament on 29 May 2012) allows municipalities to ban construction in certain areas solely due to climate change adaptation reasons. Woik is underway by the Ministry of Municipal Affairs and Housing (MMAH) on the development of the next edition of the Building Code to make new buildings in Ontario resilient to climate change impacts and to enhance their ability to conserve water and energy. The plan comprises national actions (regulations, information-based instruments) shared across levels of government, as well as local projects. This put in place a framework that will allow the spatial plans of the Lander and regions to be gradually supplemented with the aspect of provision for the spatial requirements of climate adaptation during their redrafting process.</t>
  </si>
  <si>
    <t>ae0127b863a6f73bea89e607ef148a73</t>
  </si>
  <si>
    <t>Over the past 20 years, the CWSRFs have lent USD 63 billion for 20 711 projects in communities of all sizes (of which 96% went to wastewater treatment projects). They have lent USD 2.31 for every dollar the federal government had initially allocated. The DWSRFs have lent USD12.6 billion to 5 555 projects over 10 years. However, this might end up causing excessive leverage.</t>
  </si>
  <si>
    <t>7746a76464eae8ea7f7ec3154d15dc35</t>
  </si>
  <si>
    <t>In some cases, even new laws lack key elements such as definitions, precision of rights and obligations and setting of standards, and also fall short in terms of determining procedural stages. Many are framework laws and require the adoption of secondary legislation and a set of regulations, steps have been taken, but there is still a long way to go. Overlapping competences and fragmentation of responsibilities among different institutions and management agencies often occurs and so docs a lack of effective coordination among the different ministries/authorities. Insufficient human, financial and technical resources are an additional barrier.</t>
  </si>
  <si>
    <t>ef4ae876ece58664e870c413fdb477bd</t>
  </si>
  <si>
    <t>Understanding that there is also a "hydro-social cycle" draws attention to gender dimensions. At every stage of the hydro-social cycle there are different demands, risks and benefits for women and for men. This responsibility becomes even greater in the face of pervasive water quality problems in both developed and developing countries, which will become worse with climate disruption.</t>
  </si>
  <si>
    <t>1c27c976c414ed7e28fb172c04d86439</t>
  </si>
  <si>
    <t>Luxembourg has been slow to implement certain laws (the Sustainable Development Plan, sectoral master plans) and European directives. For example, there are gaps in Luxembourg’s implementation of the Seveso Directive, which calls for external emergency plans that entail active obligations to notify local residents. Over the period 1990-2007, its economy grew strongly, with GDP rising by 118% for an average of 4.7% per year.</t>
  </si>
  <si>
    <t>6c063e75aa8e4892d676c082c10aa7c2</t>
  </si>
  <si>
    <t>The Public Debt Committee consists of the Central Bank, the Ministry of Planning and the Ministry of Finance. It is positive that there are high-level decision-making bodies in Jordan that can give mandate to PPP projects. However, it appears that they may have difficulty in performing their tasks effectively.</t>
  </si>
  <si>
    <t>b5589a8c8f8b756ba0def2fae7d268aa</t>
  </si>
  <si>
    <t>Women are slightly more likely to be food insecure than men in every region of the world (Figure 22) (FAO/IFAD/UNICEF/WFP/ WHO, 2017). At the same time, obesity has nearly tripled worldwide since 1975. In 2016, more than 1.9 billion adults (older than 18 years) were overweight and more than one-third of these (over 650 million) were obese (WHO, 2018).</t>
  </si>
  <si>
    <t>224dbf31bad9ca93b423335245ff4726</t>
  </si>
  <si>
    <t>Partial information is available on infrastructure needs and on the costs of water resources management. In the OECD and Big 5 economies annual expenditures in the range of USD 770 billion are projected up to 2015 and over USD 1 trillion by 2025 (see OECD, 2006)!. Not least in OECD countries, environmental pressures will continue to grow, as will the expectations of the general public with respect to environmental protection and natural resource management. These factors are expected to add significantly to the costs incurred in the supply of water services and wastewater treatment.</t>
  </si>
  <si>
    <t>78a034e5e7cac24848f833aad415d424</t>
  </si>
  <si>
    <t>The integrated function of these riverine systems ensures the development of self-sustaining aquatic populations, flood protection and reduction of pollution. The DRBMP reports the area of floodplains/ wetlands to be reconnected by 2015 for both the Danube River and its tributaries. The inter-linkage with national River Basin Management Plans (RBMP) is vital for wetland reconnection, as, for example, significant areas arc expected to be reconnected to rivers with catchment areas &lt;4,000 km’.</t>
  </si>
  <si>
    <t>b0da37102ff6aed6a761d91dbe6d73d6</t>
  </si>
  <si>
    <t>National goals for hydroelectricity are set according to water policies and targets, although this still has to be implemented at the basin level. The Environment Agency is now working with the Energy Saving Trust to develop policy in this area to target hot water use as a way of mitigating climate change. Plans for renewable energy take into account the increasing needs generated by desalination plants, irrigation modernisation, water reuse, aquifer management in periods of droughts, etc.</t>
  </si>
  <si>
    <t>44225a39c980aebbb67cfa2f08748c74</t>
  </si>
  <si>
    <t>The overall costs of water pollution caused by agriculture across OECD countries both in terms of treatment for consumption and in terms of damage to ecosystems are likely to exceed billions of euros annually (Gruere, 2016(7], OECD, 2017(6]).' At the same time, in many regions agricultural production is subject to water risks mainly due to climate variability, extreme events, depleting groundwater resources, but it also faces resource competition from other sectors (OECD, 2017(2]). Recent reports show that diffuse pollution from agriculture continues to be problematic in spite of policy efforts (Wang, Tyau and Ybanez, 2017(8], Wasley, Fiona and Davies, 2017(9], Melia, 2017[ioj, OECD, 2017(6]). Droughts and floods continue to have lasting and potentially devastating impacts on agriculture in many regions (OECD, 2016(d).</t>
  </si>
  <si>
    <t>b4b246e120c8ed7ae816f8b4bd3d3d4f</t>
  </si>
  <si>
    <t>Clearing land for pasture and feed crops has led to widespread deforestation and biodiversity loss and overgrazing leads to erosion and compaction. Furthermore, livestock production accounts for large amounts of water use and constitutes a source of water pollution from hormone use and other chemicals, as well as from the inadequate handling of manure. A limited number of genetically modified animals, animal substances, tissues and micro-organisms have been introduced in the production of livestock and fish to date.</t>
  </si>
  <si>
    <t>3aeeaf95317e4dddde83090bdcd30568</t>
  </si>
  <si>
    <t>Currently, for example, many of the costs associated with the ecological and morphological degradation of the Lagoon are “externalised”, in other words, these costs are not borne by those who contribute to the damage, like speed boats or industrial polluters. The costs of insurance against increased flood risk are another example of the externalisation of costs. In these cases, costs are increased for the tourism sector and shops, offices and facilities exposed to flooding. But other sectors, such as fishing and agriculture, also bear costs, due, for example, to the negative impact of morphological changes and water pollution. To give just one example, the traditional Lagoon fishery (in existence since records began to be kept) was largely abandoned in the 1980s, a period during which fishing in the Lagoon became largely untenable due to environmental factors.</t>
  </si>
  <si>
    <t>0ce18f9c562d2b0d8a954b2570cbe045</t>
  </si>
  <si>
    <t>At the same time promoting more competition in the refinery sector would help ensure that costs associated with the transition to cleaner fuels are minimised. The leading role played by cities such as Beijing shows how stronger emissions and fuel standards can limit motor vehicle pollution. Nationwide implementation of leading China standards, and over time higher standards still, should be a high priority for the central government.</t>
  </si>
  <si>
    <t>9804c4cef18dcca814ec4d1e695ae3de</t>
  </si>
  <si>
    <t>The Protocol focal points may be considered information multipliers as they can reach and motivate important target groups and potential supporters, such as policy makers, donors, media and the general public, to get them involved in the implementation of the Protocol. The objectives of the Protocol align closely with the objectives of the 2030 Agenda, and the Protocol can be considered as a precursor of several SDG principles such as universality, intersectorality, equity, prevention and safety. Org/fileadmin/DAM/env/documents/2000/wat/nip.wat.2000.l .e.pdf.</t>
  </si>
  <si>
    <t>04cfff6d435badbef2c5aeda54c01141</t>
  </si>
  <si>
    <t>One of the contributing factors to poverty for working-age women in some countries is the increasing proportion of non-partnered women with children (UNDESA, 2015). Hie international poverty line for extreme poverty is US$1.90 a day 2011 PPP and the ‘median’ poverty line is US$3.10 a day 2011 PPP. Over 25% of children living in rural areas live in extreme poverty, compared to just over 9% of children in urban areas (UNICEF/World Bank, 2016). Poverty is by no means limited to developing countries.</t>
  </si>
  <si>
    <t>41eaf94ffcb41fb1c24da74d45da045e</t>
  </si>
  <si>
    <t>As a result, the quality of sorting is uneven and there is considerable unexploited recovery potential, particularly for organic components and plastics from municipal waste. The polluter pays principle is only partially applied, and prices vary among the communes. There has been little progress in managing waste from the health sector, it is no longer co-ordinated, and self-sufficiency is not guaranteed for the treatment and disposal of infectious waste.</t>
  </si>
  <si>
    <t xml:space="preserve">Weakly SDG 6: SDG 6 is not the main theme. Water projects are used as an example. </t>
  </si>
  <si>
    <t>Could be related to SDG 6 - ecosystem, but quite weak</t>
  </si>
  <si>
    <t>mentioned water, but too weak to be SDG 6 since neither targets, meausres, or problems are explicitly mentioned.</t>
  </si>
  <si>
    <t>ecosystem and climate could be related to water supply. But this is very vauge in the passage.</t>
  </si>
  <si>
    <t>Just a description of the state of river. Related to SDG-6 as a piece of information for policy design or for measuring the policy impact. But it is not related to targets.</t>
  </si>
  <si>
    <t>Not specific on water</t>
  </si>
  <si>
    <t>not specific on water</t>
  </si>
  <si>
    <t>borderline false. It's not clear if this passage is about different financial instruments to support specifically SDG-6 projects or just everything and water projects are mentioned as an example.</t>
  </si>
  <si>
    <t>about marine life, not mentioning links to water &amp; humans</t>
  </si>
  <si>
    <t>sounds like sanitation related, but the abbreviations SCWS and ICU pilots confused me</t>
  </si>
  <si>
    <t>The passage talks about information source for research on SDG-6 progress, not about any projects related to SDG-6</t>
  </si>
  <si>
    <t>borderline false. It mentions a concept that should be considered when measuring impacts or planing SDG-6 projects.</t>
  </si>
  <si>
    <t>not specific to water</t>
  </si>
  <si>
    <t>TO DO</t>
  </si>
  <si>
    <t>There is no mechanism regarding decontamination of orphan sites, however, and no financial means exists for the government to take such action. Environmental authorities have made an inventory of publicly owned sites contaminated by pesticides, but no remediation has yet taken place due to a lack of funding (Chapter 5). Law 491 of 1999 requires projects requiring licences (i.e. the largest ones, with the highest environmental risks) to take out insurance covering environmental damage.</t>
  </si>
  <si>
    <t>mentions water management, but not any of the targets</t>
  </si>
  <si>
    <t>seems mmore fact stating, but about the value-laden access to water</t>
  </si>
  <si>
    <t>maybe more stating a problem, than addressing a target</t>
  </si>
  <si>
    <t>they mention ground water and its use but other than that nothing about SDG6</t>
  </si>
  <si>
    <t xml:space="preserve">not really about equatic ecosystems </t>
  </si>
  <si>
    <t>not really about SDG 6, more about the costs of water management</t>
  </si>
  <si>
    <t>about policy wrt water</t>
  </si>
  <si>
    <t>mentions wastewater but not about how to reduce pollution</t>
  </si>
  <si>
    <t>niet direct over targets</t>
  </si>
  <si>
    <t>sanitation mentioned but not really about targets</t>
  </si>
  <si>
    <t>target 6a? it is about water management but not directlybrelated to the targets</t>
  </si>
  <si>
    <t>more about finances than about fulfilling the goals</t>
  </si>
  <si>
    <t>only small reference to sewer</t>
  </si>
  <si>
    <t>general theme</t>
  </si>
  <si>
    <t>not directly linked to SDG 6 objectives, water-related aspects not enough</t>
  </si>
  <si>
    <t>blue economy relates more to SDG 14</t>
  </si>
  <si>
    <t>water resource management</t>
  </si>
  <si>
    <t>not explicit enough on water sanitation interlinkages and their implications</t>
  </si>
  <si>
    <t xml:space="preserve">not clear remediation of what? </t>
  </si>
  <si>
    <t>6.5, 6.6</t>
  </si>
  <si>
    <t>pressures on water-related ecosystems (even though not clearly stated)</t>
  </si>
  <si>
    <t>not clear what type of ecosystems</t>
  </si>
  <si>
    <t>sanitation, hygiene for all</t>
  </si>
  <si>
    <t>Can this be seen as link to effective water resource management?</t>
  </si>
  <si>
    <t>water resource conservation</t>
  </si>
  <si>
    <t>water only marginally mentioned</t>
  </si>
  <si>
    <t>6.b</t>
  </si>
  <si>
    <t>water-related ecosystems</t>
  </si>
  <si>
    <t>water use efficiency</t>
  </si>
  <si>
    <t>doi</t>
  </si>
  <si>
    <t>text_id</t>
  </si>
  <si>
    <t>text</t>
  </si>
  <si>
    <t>sdg</t>
  </si>
  <si>
    <t>labels_negative</t>
  </si>
  <si>
    <t>labels_positive</t>
  </si>
  <si>
    <t>labels_total</t>
  </si>
  <si>
    <t>agreement</t>
  </si>
  <si>
    <t>label</t>
  </si>
  <si>
    <t>difficulty</t>
  </si>
  <si>
    <t>selection reason</t>
  </si>
  <si>
    <t>10.6027/26908ff6-en</t>
  </si>
  <si>
    <t>hard</t>
  </si>
  <si>
    <t>10.18356/35651950-en</t>
  </si>
  <si>
    <t>target 6.2</t>
  </si>
  <si>
    <t>10.18356/09f3c767-en</t>
  </si>
  <si>
    <t>very easy</t>
  </si>
  <si>
    <t>target 6.a</t>
  </si>
  <si>
    <t>10.1787/9789264179820-4-en</t>
  </si>
  <si>
    <t>target 6.5</t>
  </si>
  <si>
    <t>10.1787/9789264169265-6-en</t>
  </si>
  <si>
    <t>automated selection</t>
  </si>
  <si>
    <t>10.18356/2b415b7c-en</t>
  </si>
  <si>
    <t>UNDECIDED</t>
  </si>
  <si>
    <t>very hard</t>
  </si>
  <si>
    <t>10.1787/9789264119284-6-en</t>
  </si>
  <si>
    <t>10.18356/08e82310-en</t>
  </si>
  <si>
    <t>medium</t>
  </si>
  <si>
    <t>10.1787/9789264238701-7-en</t>
  </si>
  <si>
    <t>target 6.4</t>
  </si>
  <si>
    <t>10.18356/22758cf4-en</t>
  </si>
  <si>
    <t>easy</t>
  </si>
  <si>
    <t>10.18356/8e319423-en</t>
  </si>
  <si>
    <t>10.1787/9789264279551-6-en</t>
  </si>
  <si>
    <t>10.1787/9789264077287-en</t>
  </si>
  <si>
    <t>10.1787/5jlssl611r32-en</t>
  </si>
  <si>
    <t>10.1787/9789264186378-8-en</t>
  </si>
  <si>
    <t>manual balancing</t>
  </si>
  <si>
    <t>10.18356/f47faf05-en</t>
  </si>
  <si>
    <t>target 6.3</t>
  </si>
  <si>
    <t>10.1787/9789264083660-7-en</t>
  </si>
  <si>
    <t>10.1787/9789264168060-5-en</t>
  </si>
  <si>
    <t>10.1787/9789264083523-4-en</t>
  </si>
  <si>
    <t>10.18356/fb332d66-en</t>
  </si>
  <si>
    <t>target 6.1</t>
  </si>
  <si>
    <t>10.1787/eco/surveys-chn-2013-5-en</t>
  </si>
  <si>
    <t>10.1787/9789264281776-4-en</t>
  </si>
  <si>
    <t>10.1787/9789264179820-6-en</t>
  </si>
  <si>
    <t>10.18356/13616d1f-en</t>
  </si>
  <si>
    <t>10.1787/9789264202405-9-en</t>
  </si>
  <si>
    <t>10.1787/9789264202887-10-en</t>
  </si>
  <si>
    <t>10.18356/2fa96d20-en</t>
  </si>
  <si>
    <t>10.1787/9789264279551-5-en</t>
  </si>
  <si>
    <t>10.1787/eco/surveys-esp-2010-7-en</t>
  </si>
  <si>
    <t>10.1787/9789264102637-10-en</t>
  </si>
  <si>
    <t>10.18356/935513ee-en</t>
  </si>
  <si>
    <t>10.18356/92a064e5-en</t>
  </si>
  <si>
    <t>10.18356/b8db134e-en</t>
  </si>
  <si>
    <t>10.1787/9789264213753-5-en</t>
  </si>
  <si>
    <t>10.1787/9789264238121-6-en</t>
  </si>
  <si>
    <t>10.18356/1f4aa5e0-en</t>
  </si>
  <si>
    <t>10.1787/9789264208292-6-en</t>
  </si>
  <si>
    <t>10.1787/9789264097896-7-en</t>
  </si>
  <si>
    <t>10.18356/fe9e0125-en</t>
  </si>
  <si>
    <t>10.1787/9789264119284-3-en</t>
  </si>
  <si>
    <t>10.18356/a68df323-en</t>
  </si>
  <si>
    <t>10.18356/b64c6036-en</t>
  </si>
  <si>
    <t>10.18356/5f39af5f-en</t>
  </si>
  <si>
    <t>10.1787/9789264213753-6-en</t>
  </si>
  <si>
    <t>10.1787/9789264279360-11-en</t>
  </si>
  <si>
    <t>10.1787/9789264120525-2-en</t>
  </si>
  <si>
    <t>10.1787/9789264100817-10-en</t>
  </si>
  <si>
    <t>10.18356/0e8375fc-en</t>
  </si>
  <si>
    <t>10.1787/9789264285712-9-en</t>
  </si>
  <si>
    <t>10.1787/9789264121836-7-en</t>
  </si>
  <si>
    <t>10.1787/9789264281707-7-en</t>
  </si>
  <si>
    <t>10.1787/9789264279360-5-en</t>
  </si>
  <si>
    <t>10.1787/9789264238701-5-en</t>
  </si>
  <si>
    <t>10.18356/07e053e9-en</t>
  </si>
  <si>
    <t>10.18356/28e6d0d2-en</t>
  </si>
  <si>
    <t>10.1787/9789264231122-9-en</t>
  </si>
  <si>
    <t>10.1787/9789264281707-8-en</t>
  </si>
  <si>
    <t>10.18356/cf6cb95e-en</t>
  </si>
  <si>
    <t>10.1787/9789264251090-8-en</t>
  </si>
  <si>
    <t>10.1787/9789264268982-5-en</t>
  </si>
  <si>
    <t>10.18356/e333ca08-en</t>
  </si>
  <si>
    <t>10.1787/9789264187894-7-en</t>
  </si>
  <si>
    <t>10.18356/550b76bf-en</t>
  </si>
  <si>
    <t>10.1787/9789264187894-8-en</t>
  </si>
  <si>
    <t>10.18356/19c562f5-en</t>
  </si>
  <si>
    <t>10.1787/1826beee-en</t>
  </si>
  <si>
    <t>10.18356/2c323ce7-en</t>
  </si>
  <si>
    <t>10.1787/9789264202405-5-en</t>
  </si>
  <si>
    <t>10.1787/9789264120983-11-en</t>
  </si>
  <si>
    <t>10.14217/9781848599178-5-en</t>
  </si>
  <si>
    <t>10.14217/9781848590823-19-en</t>
  </si>
  <si>
    <t>Group</t>
  </si>
  <si>
    <t>Alignment</t>
  </si>
  <si>
    <t>Comments</t>
  </si>
  <si>
    <t>Consensus</t>
  </si>
  <si>
    <t>Rationale</t>
  </si>
  <si>
    <t>Notes</t>
  </si>
  <si>
    <t>- Gib: ecosystem and climate could be related to water supply. But this is very vauge in the passage.
- Steve: not clear what type of ecosystems</t>
  </si>
  <si>
    <t>3v1</t>
  </si>
  <si>
    <t xml:space="preserve">- Gib: Weakly SDG 6: SDG 6 is not the main theme. Water projects are used as an example. </t>
  </si>
  <si>
    <t>affordable water sector project (target 6.1)</t>
  </si>
  <si>
    <t/>
  </si>
  <si>
    <t>- Meike: not really about SDG 6, more about the costs of water management</t>
  </si>
  <si>
    <t>overaching theme of SDG 6</t>
  </si>
  <si>
    <t>- Gib: about marine life, not mentioning links to water &amp; humans
- Steve: water-related ecosystems</t>
  </si>
  <si>
    <t>- Gib: The passage talks about information source for research on SDG-6 progress, not about any projects related to SDG-6
- Meike: they mention ground water and its use but other than that nothing about SDG6</t>
  </si>
  <si>
    <t>unclear because first sentence is SDG 6 but subsequent sentences are not</t>
  </si>
  <si>
    <t>- Gib: borderline false. It's not clear if this passage is about different financial instruments to support specifically SDG-6 projects or just everything and water projects are mentioned as an example.</t>
  </si>
  <si>
    <t>water and sanitation fall under the overarching theme of SDG 6</t>
  </si>
  <si>
    <t>- Steve: 6.5, 6.6</t>
  </si>
  <si>
    <t>modified water bodies are related to target 6.6; water pollution from landfills is related to target 6.3</t>
  </si>
  <si>
    <t>Remove this since it's French</t>
  </si>
  <si>
    <t>- Finn: value neutral?</t>
  </si>
  <si>
    <t>2v2</t>
  </si>
  <si>
    <t>- Meike: target 6a? it is about water management but not directlybrelated to the targets</t>
  </si>
  <si>
    <t>lagoons can be fresh- or saltwater; since not specified, we consider it a general "water-related ecosystem" which falls under target 6.6</t>
  </si>
  <si>
    <t>2v1</t>
  </si>
  <si>
    <t>- Meike: mentions water management, but not any of the targets</t>
  </si>
  <si>
    <t>- Steve: water only marginally mentioned</t>
  </si>
  <si>
    <t>- Gib: not specific on water</t>
  </si>
  <si>
    <t>- Meike: seems mmore fact stating, but about the value-laden access to water</t>
  </si>
  <si>
    <t xml:space="preserve">- Steve: not clear remediation of what? </t>
  </si>
  <si>
    <t xml:space="preserve">- Meike: not really about equatic ecosystems </t>
  </si>
  <si>
    <t>- Gib: mentioned water, but too weak to be SDG 6 since neither targets, meausres, or problems are explicitly mentioned.
- Meike: niet direct over targets</t>
  </si>
  <si>
    <t>- Steve: water resource management</t>
  </si>
  <si>
    <t>- Finn: What do we do with abbreviations / names?
- Steve: Can this be seen as link to effective water resource management?</t>
  </si>
  <si>
    <t>- Meike: about policy wrt water</t>
  </si>
  <si>
    <t>- Finn: typo</t>
  </si>
  <si>
    <t>- Meike: maybe more stating a problem, than addressing a target</t>
  </si>
  <si>
    <t>- Finn: target 6.6
- Gib: Could be related to SDG 6 - ecosystem, but quite weak
- Steve: pressures on water-related ecosystems (even though not clearly stated)</t>
  </si>
  <si>
    <t>- Meike: sanitation mentioned but not really about targets
- Steve: not explicit enough on water sanitation interlinkages and their implications</t>
  </si>
  <si>
    <t>- Meike: only small reference to sewer</t>
  </si>
  <si>
    <t>- Gib: borderline false. It mentions a concept that should be considered when measuring impacts or planing SDG-6 projects.</t>
  </si>
  <si>
    <t>- Steve: water use efficiency</t>
  </si>
  <si>
    <t>- Steve: water resource conservation</t>
  </si>
  <si>
    <t>- Finn: sanitation
- Gib: sounds like sanitation related, but the abbreviations SCWS and ICU pilots confused me
- Steve: sanitation</t>
  </si>
  <si>
    <t>- Meike: general theme</t>
  </si>
  <si>
    <t>- Finn: target 6.b</t>
  </si>
  <si>
    <t>- Meike: mentions wastewater but not about how to reduce pollution</t>
  </si>
  <si>
    <t>- Gib: Just a description of the state of river. Related to SDG-6 as a piece of information for policy design or for measuring the policy impact. But it is not related to targets.
- Steve: not directly linked to SDG 6 objectives, water-related aspects not enough</t>
  </si>
  <si>
    <t>- Steve: 6.b</t>
  </si>
  <si>
    <t>- Meike: more about finances than about fulfilling the goals
- Steve: 6.3</t>
  </si>
  <si>
    <t>- Steve: sanitation, hygiene for all</t>
  </si>
  <si>
    <t>- Steve: blue economy relates more to SDG 14</t>
  </si>
  <si>
    <t>- Gib: Not specific on water</t>
  </si>
  <si>
    <t>- Gib: not specific to water</t>
  </si>
  <si>
    <t>id</t>
  </si>
  <si>
    <t>osdg_text_id</t>
  </si>
  <si>
    <t>comment</t>
  </si>
  <si>
    <t>One of the contributing factors to poverty for working-age women in some countries is the increasing proportion of non-partnered women with children (UNDESA, 2015). The international poverty line for extreme poverty is US$1.90 a day 2011 PPP and the ‘median’ poverty line is US$3.10 a day 2011 PPP. Over 25% of children living in rural areas live in extreme poverty, compared to just over 9% of children in urban areas (UNICEF/World Bank, 2016). Poverty is by no means limited to developing countries.</t>
  </si>
  <si>
    <t>fixed typo</t>
  </si>
  <si>
    <t>Hydropower production is common in the upper part of the basin, and cascades of dams form big reservoirs. Many small dams are used for irrigation purposes and fish-breeding. In Turkey, seven dams and one regulator are under operation on the Ergenc River and its tributaries, serving irrigation, flood control and some drinking water supply purposes (15% of drinking water of Edime and Kirldareli cities is supplied from two reservoirs, Suloglu and Armagan). There are also 53 small dams located on several tributaries used for irrigation.</t>
  </si>
  <si>
    <t>fixed typos, removed line numbers</t>
  </si>
  <si>
    <t>The integrated function of these riverine systems ensures the development of self-sustaining aquatic populations, flood protection and reduction of pollution. The DRBMP reports the area of floodplains/ wetlands to be reconnected by 2015 for both the Danube River and its tributaries. The inter-linkage with national River Basin Management Plans (RBMP) is vital for wetland reconnection, as, for example, significant areas are expected to be reconnected to rivers with catchment areas &lt;4,000 km’.</t>
  </si>
  <si>
    <t>In the first instance, the conclusions should be awaited of an EU project currently examining this issue. The initiative for scoping and implementing PES can be left to local communities acting with other key local stakeholders, with potential support from international networks and NGOs. Pollution of rivers and lakes in Eastern parts of Georgia is of concern both to Georgia and to the downstream parts of Western Azerbaijan.</t>
  </si>
  <si>
    <t>fixed typos</t>
  </si>
  <si>
    <t>The OECD guidelines for good practice set forth a number of options that could be considered to support efforts to move toward the sustainable management of water quality in agriculture. The greater use of economic instruments (e.g. water quality trading, pollution taxes) to address non-point source pollution can improve the cost effectiveness10 of measures. While water quality trading has the potential to lower the cost of achieving improved water quality, in practice, experience with such programmes remains fairly limited to date.11 Design features (e.g. scale, compliance requirements, transaction costs) have an important bearing on their overall performance in reaching environmental and efficiency objectives. Current efforts to advance sustainable agricultural practices (including, for example, “precision agriculture”) could be considerably scaled-up and provide opportunities for green growth.</t>
  </si>
  <si>
    <t>While the increase is modest as a percentage change, it is considerable in coverage when viewed as a net number. This reflects the high population growth rates in Arab countries and the importance of pursuing water-related investments for increased service provision for the un-served as well as keeping pace with population growth trends. Figure 8 compares access to drinking water from the “piped on premises” source (or house connection), other improved sources and unimproved sources for the years 1990 and 2011. Despite the lack of complete data sets for all Arab countries, available national averages were used in calculating the regional average in order to compare and report on the progress of access to drinking water sources and sanitation facilities in the Arab region during the period 1990-2011. It is therefore important to highlight that the presented number of population with access to improved water sources and sanitation facilities at the regional level are approximate.</t>
  </si>
  <si>
    <t>fixed typo, removed footnote numbers</t>
  </si>
  <si>
    <t>A “problemshed” approach is very wise under many circumstances, but specific incentives also need to be set at the federal level for outcome-oriented governance at basin and state level. This is very much the spirit of the National Pact for Water Management signed in 2011 between the ANA and state governments to converge towards integrated water resources management (see Chapter 3). In many instances water policy reforms are difficult to put into practice because little data and information are available, particularly on the economic, financial and institutional implications.</t>
  </si>
  <si>
    <t>In some cases, even new laws lack key elements such as definitions, precision of rights and obligations and setting of standards, and also fall short in terms of determining procedural stages. Many are framework laws and require the adoption of secondary legislation and a set of regulations, steps have been taken, but there is still a long way to go. Overlapping competences and fragmentation of responsibilities among different institutions and management agencies often occurs and so does a lack of effective coordination among the different ministries/authorities. Insufficient human, financial and technical resources are an additional barrier.</t>
  </si>
  <si>
    <t>Despite the limited amount of data made available thus far, a significant number of predictions stress the vulnerability of water resources in Central Asia. An increase in air temperature and a short-term increase in river flows, due to the melting of glaciers, is one such likely consequence. In the long term, river flows are predicted to decrease, and the levels of aridity and evapotranspiration to rise, which would increase irrigation requirements for water and increase the risk of scarcity and droughts. The willingness of all the riparian countries to cooperate, establish an open dialogue and compromise to find a consensus between their positions is necessary for agreement.</t>
  </si>
  <si>
    <t>As such, IBCC has been helpful in co-ordinating between various local conservancy districts with state-level agencies and local stakeholders. This is useful in so far as there are so many conservancy districts in Colorado that almost none have jurisdiction over an entire river basin. In order to account for all alternatives, co-operation is therefore necessary.</t>
  </si>
  <si>
    <t>When the provision of services involves the same network there may be “joint” costs, “common” costs, or network benefits. This is despite the fact that there may be some relevant differences in circumstances between particular customers that will not be closely reflected in the resulting charges. When considering issues of practicability, it is important to recognise that the availability of information is likely to evolve over time. This means that Ofwat retains the possibility of changing the way costs are assessed depending upon available information. Failing to do so raises equity issues, as future generations will have to foot the bill, either through decayed infrastructure or increased public debt. Typically, all things being equal, industry or municipalities should have an incentive to develop in regions where water is abundant and competition between water users is minimal, and they should cover the costs of a reliable access to water.</t>
  </si>
  <si>
    <t>The conclusion of their work is that the benefits of management or groundwater irrigation will not always be significant, and that they depend highly on economic, hydrologic, and agronomic parameters (Koundouri, 2004). There has been significant discussion in the literature on possible criteria to define when groundwater pumping is detrimental (see Chapter 2, and Llamas and Garrido, 2007). In particular, fighting against stock depletion is rarely found to be appropriate (Giordano, 2009, GWP, 2012).</t>
  </si>
  <si>
    <t>The local government can facilitate the exchange of good practices and knowledge acquired through the rural-urban partnership, promoting evaluation of the initiatives and sharing information. They provide useful vehicles for translating national policy design and implementation at the local level, increasing national policy effectiveness. Also, regions and cities are responsible for much of the service delivery and public investment that determines economic growth and people’s well-being.</t>
  </si>
  <si>
    <t>The monitoring of priority substances in sediments and biota is lacking. The same applies to an emissions inventory and losses of priority substances and other relevant pollutants. Very frequently, especially when it comes to the development of the RBMP, die "expert assessment" approach is used for assessing the status of water bodies, and this "expert assessment" is not subsequently confirmed, which can be interpreted as deterioration of the status of the water body.</t>
  </si>
  <si>
    <t>The Darkosh records show a minimal, though statistically significant, negative trend (Figure 6). From Darkosh onwards, if not before, the Orontes can be considered a regulated river. Despite data gaps, the latter shows a quite regular variability, with drier and wetter periods compared to the mean, and no extreme drought or flood periods (Figure 6). Generally, the downstream station Jisr al Shughur (15,130 km2) exhibits a high-flow season from December to May and a low-flow season from June to November.</t>
  </si>
  <si>
    <t>The improvement of housing provision in rural areas is achieved by considerable self-build construction of single-family houses. In cities and towns, housing construction is mainly led by the private sector and aimed at wealthy customers, a decent housing market remains unaffordable for average households because of their low annual incomes. At present, however, there is neither a policy nor a state programme for development of social housing and affordable housing for rent. Budget funding of new construction projects for those recognized as being in need of housing improvements is scarce.</t>
  </si>
  <si>
    <t>The technical capacity of individual establishments to respond adequately to environmental protection and resource management questions is also an important factor. Annual corporate environmental protection expenditure. To provide a holistic view of a country’s efforts towards sustaining and protecting the environment, policymakers, analysts and civil society require statistics on environmental governance and regulation at the national level. The magnitude of these activities can inform about the extent of institutional development, availability of resources, and the existence and enforcement of regulatory and market instruments whose primary purpose is to protect, regulate and manage the changing environment. Successful national environmental governance requires institutional strength, as well as regulatory capabilities.</t>
  </si>
  <si>
    <t>Driver (2002) estimated that 47 per cent of households in Trinidad and Tobago have improper title and 55 per cent of farmers have no proof of land ownership. Faizool (2002) noted that increasing socio-economic pressures have been accompanied by an increase in squatting especially on the upper slopes of the western half of the Northern Range, both on private and state-owned lands. One reason for the malfunctioning of the market is the failure of land-use planning to release land for development in the right place and at the right time, thus creating artificial land shortages that drive land values up and beyond the reach of the poor to purchase land.</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</si>
</sst>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17.0"/>
      <color rgb="FF000000"/>
      <name val="&quot;Arial&quot;"/>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color theme="1"/>
      <name val="Arial"/>
    </font>
    <font>
      <b/>
      <color rgb="FF000000"/>
      <name val="&quot;Arial&quot;"/>
    </font>
    <font>
      <u/>
      <color rgb="FF0000FF"/>
    </font>
    <font>
      <b/>
      <color theme="1"/>
      <name val="Arial"/>
      <scheme val="minor"/>
    </font>
    <font>
      <sz val="13.0"/>
      <color theme="1"/>
      <name val="Arial"/>
      <scheme val="minor"/>
    </font>
    <font>
      <b/>
      <u/>
      <color theme="1"/>
      <name val="Arial"/>
      <scheme val="minor"/>
    </font>
    <font>
      <b/>
      <color theme="1"/>
      <name val="Calibri"/>
    </font>
    <font>
      <b/>
      <sz val="10.0"/>
      <color theme="1"/>
      <name val="Arial"/>
      <scheme val="minor"/>
    </font>
    <font>
      <color theme="1"/>
      <name val="Calibri"/>
    </font>
    <font>
      <sz val="11.0"/>
      <color theme="1"/>
      <name val="Arial"/>
      <scheme val="minor"/>
    </font>
    <font>
      <b/>
      <color theme="1"/>
      <name val="Arial"/>
    </font>
    <font>
      <b/>
      <sz val="10.0"/>
      <color theme="1"/>
      <name val="Arial"/>
    </font>
    <font>
      <sz val="10.0"/>
      <color theme="1"/>
      <name val="Arial"/>
      <scheme val="minor"/>
    </font>
    <font>
      <sz val="9.0"/>
      <color theme="1"/>
      <name val="Arial"/>
      <scheme val="minor"/>
    </font>
  </fonts>
  <fills count="6">
    <fill>
      <patternFill patternType="none"/>
    </fill>
    <fill>
      <patternFill patternType="lightGray"/>
    </fill>
    <fill>
      <patternFill patternType="solid">
        <fgColor rgb="FFB6D7A8"/>
        <bgColor rgb="FFB6D7A8"/>
      </patternFill>
    </fill>
    <fill>
      <patternFill patternType="solid">
        <fgColor rgb="FFEA9999"/>
        <bgColor rgb="FFEA9999"/>
      </patternFill>
    </fill>
    <fill>
      <patternFill patternType="solid">
        <fgColor rgb="FFF4CCCC"/>
        <bgColor rgb="FFF4CCCC"/>
      </patternFill>
    </fill>
    <fill>
      <patternFill patternType="solid">
        <fgColor rgb="FFD9EAD3"/>
        <bgColor rgb="FFD9EAD3"/>
      </patternFill>
    </fill>
  </fills>
  <borders count="2">
    <border/>
    <border>
      <left style="thick">
        <color rgb="FF000000"/>
      </left>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center" wrapText="1"/>
    </xf>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vertical="bottom"/>
    </xf>
    <xf borderId="0" fillId="0" fontId="9" numFmtId="0" xfId="0" applyAlignment="1" applyFont="1">
      <alignment shrinkToFit="0" vertical="bottom" wrapText="0"/>
    </xf>
    <xf borderId="0" fillId="0" fontId="9" numFmtId="0" xfId="0" applyFont="1"/>
    <xf borderId="0" fillId="0" fontId="5" numFmtId="0" xfId="0" applyAlignment="1" applyFont="1">
      <alignment readingOrder="0" shrinkToFit="0" wrapText="1"/>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5" numFmtId="0" xfId="0" applyFont="1"/>
    <xf borderId="0" fillId="0" fontId="0" numFmtId="0" xfId="0" applyAlignment="1" applyFont="1">
      <alignment horizontal="right"/>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vertical="bottom"/>
    </xf>
    <xf borderId="0" fillId="0" fontId="15" numFmtId="0" xfId="0" applyAlignment="1" applyFont="1">
      <alignment readingOrder="0" shrinkToFit="0" vertical="bottom" wrapText="1"/>
    </xf>
    <xf borderId="0" fillId="0" fontId="16" numFmtId="0" xfId="0" applyAlignment="1" applyFont="1">
      <alignment horizontal="center" readingOrder="0" vertical="bottom"/>
    </xf>
    <xf borderId="0" fillId="0" fontId="17" numFmtId="0" xfId="0" applyAlignment="1" applyFont="1">
      <alignment vertical="bottom"/>
    </xf>
    <xf borderId="0" fillId="0" fontId="17" numFmtId="0" xfId="0" applyAlignment="1" applyFont="1">
      <alignment shrinkToFit="0" vertical="bottom" wrapText="1"/>
    </xf>
    <xf borderId="0" fillId="0" fontId="18" numFmtId="0" xfId="0" applyAlignment="1" applyFont="1">
      <alignment horizontal="center" readingOrder="0" vertical="center"/>
    </xf>
    <xf borderId="0" fillId="2" fontId="17" numFmtId="0" xfId="0" applyAlignment="1" applyFill="1" applyFont="1">
      <alignment shrinkToFit="0" vertical="bottom" wrapText="1"/>
    </xf>
    <xf borderId="0" fillId="3" fontId="17" numFmtId="0" xfId="0" applyAlignment="1" applyFill="1" applyFont="1">
      <alignment shrinkToFit="0" vertical="bottom" wrapText="1"/>
    </xf>
    <xf borderId="0" fillId="4" fontId="17" numFmtId="0" xfId="0" applyAlignment="1" applyFill="1" applyFont="1">
      <alignment shrinkToFit="0" vertical="bottom" wrapText="1"/>
    </xf>
    <xf borderId="0" fillId="5" fontId="17" numFmtId="0" xfId="0" applyAlignment="1" applyFill="1" applyFont="1">
      <alignment shrinkToFit="0" vertical="bottom" wrapText="1"/>
    </xf>
    <xf borderId="0" fillId="0" fontId="19" numFmtId="0" xfId="0" applyAlignment="1" applyFont="1">
      <alignment vertical="bottom"/>
    </xf>
    <xf borderId="0" fillId="0" fontId="19" numFmtId="0" xfId="0" applyAlignment="1" applyFont="1">
      <alignment vertical="bottom"/>
    </xf>
    <xf borderId="0" fillId="0" fontId="19" numFmtId="0" xfId="0" applyAlignment="1" applyFont="1">
      <alignment horizontal="right" readingOrder="0" vertical="bottom"/>
    </xf>
    <xf borderId="0" fillId="0" fontId="9" numFmtId="0" xfId="0" applyAlignment="1" applyFont="1">
      <alignment horizontal="right" vertical="bottom"/>
    </xf>
    <xf borderId="0" fillId="0" fontId="9" numFmtId="0" xfId="0" applyAlignment="1" applyFont="1">
      <alignment horizontal="center" vertical="bottom"/>
    </xf>
    <xf borderId="0" fillId="0" fontId="19" numFmtId="0" xfId="0" applyAlignment="1" applyFont="1">
      <alignment horizontal="center" readingOrder="0" vertical="bottom"/>
    </xf>
    <xf borderId="0" fillId="0" fontId="19" numFmtId="0" xfId="0" applyAlignment="1" applyFont="1">
      <alignment horizontal="center" vertical="bottom"/>
    </xf>
    <xf borderId="0" fillId="0" fontId="20" numFmtId="0" xfId="0" applyAlignment="1" applyFont="1">
      <alignment readingOrder="0" vertical="bottom"/>
    </xf>
    <xf borderId="1" fillId="0" fontId="12" numFmtId="0" xfId="0" applyAlignment="1" applyBorder="1" applyFont="1">
      <alignment horizontal="center" readingOrder="0"/>
    </xf>
    <xf borderId="0" fillId="0" fontId="5" numFmtId="0" xfId="0" applyAlignment="1" applyFont="1">
      <alignment horizontal="center"/>
    </xf>
    <xf borderId="0" fillId="0" fontId="21" numFmtId="10" xfId="0" applyFont="1" applyNumberFormat="1"/>
    <xf borderId="0" fillId="0" fontId="22" numFmtId="10" xfId="0" applyFont="1" applyNumberFormat="1"/>
    <xf borderId="1" fillId="0" fontId="5" numFmtId="0" xfId="0" applyAlignment="1" applyBorder="1" applyFont="1">
      <alignment horizontal="center" readingOrder="0"/>
    </xf>
    <xf borderId="0" fillId="0" fontId="5" numFmtId="0" xfId="0" applyAlignment="1" applyFont="1">
      <alignment horizontal="center" vertical="center"/>
    </xf>
    <xf borderId="0" fillId="0" fontId="5" numFmtId="0" xfId="0" applyAlignment="1" applyFont="1">
      <alignment horizontal="center" readingOrder="0" vertical="center"/>
    </xf>
    <xf borderId="0" fillId="0" fontId="9" numFmtId="0" xfId="0" applyAlignment="1" applyFont="1">
      <alignment readingOrder="0" vertical="bottom"/>
    </xf>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49</xdr:row>
      <xdr:rowOff>0</xdr:rowOff>
    </xdr:from>
    <xdr:ext cx="10001250" cy="61055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25"/>
    <col customWidth="1" min="3" max="3" width="127.5"/>
  </cols>
  <sheetData>
    <row r="1">
      <c r="A1" s="1"/>
    </row>
    <row r="2">
      <c r="B2" s="2" t="s">
        <v>0</v>
      </c>
    </row>
    <row r="3">
      <c r="B3" s="3"/>
    </row>
    <row r="4">
      <c r="B4" s="4" t="s">
        <v>1</v>
      </c>
    </row>
    <row r="5">
      <c r="B5" s="5" t="s">
        <v>2</v>
      </c>
    </row>
    <row r="6">
      <c r="B6" s="5"/>
    </row>
    <row r="7">
      <c r="B7" s="6" t="s">
        <v>3</v>
      </c>
    </row>
    <row r="8">
      <c r="B8" s="5" t="s">
        <v>4</v>
      </c>
    </row>
    <row r="9">
      <c r="B9" s="5" t="s">
        <v>5</v>
      </c>
    </row>
    <row r="10">
      <c r="B10" s="5" t="s">
        <v>6</v>
      </c>
    </row>
    <row r="11">
      <c r="B11" s="5" t="s">
        <v>7</v>
      </c>
    </row>
    <row r="12">
      <c r="B12" s="5" t="s">
        <v>8</v>
      </c>
    </row>
    <row r="13">
      <c r="B13" s="5"/>
    </row>
    <row r="14">
      <c r="B14" s="6" t="s">
        <v>9</v>
      </c>
    </row>
    <row r="15">
      <c r="B15" s="5" t="s">
        <v>10</v>
      </c>
    </row>
    <row r="16">
      <c r="B16" s="5" t="s">
        <v>11</v>
      </c>
    </row>
    <row r="17">
      <c r="B17" s="5"/>
      <c r="C17" s="5"/>
    </row>
    <row r="18">
      <c r="B18" s="7" t="b">
        <v>1</v>
      </c>
      <c r="C18" s="5" t="s">
        <v>12</v>
      </c>
    </row>
    <row r="19">
      <c r="B19" s="7" t="b">
        <v>0</v>
      </c>
      <c r="C19" s="5" t="s">
        <v>13</v>
      </c>
    </row>
    <row r="20">
      <c r="B20" s="7" t="s">
        <v>14</v>
      </c>
      <c r="C20" s="5" t="s">
        <v>15</v>
      </c>
    </row>
    <row r="22">
      <c r="B22" s="5" t="s">
        <v>16</v>
      </c>
    </row>
    <row r="24">
      <c r="B24" s="6" t="s">
        <v>17</v>
      </c>
    </row>
    <row r="25">
      <c r="B25" s="5" t="s">
        <v>18</v>
      </c>
      <c r="C25" s="8"/>
    </row>
    <row r="26">
      <c r="B26" s="9"/>
      <c r="C26" s="8"/>
    </row>
    <row r="27">
      <c r="B27" s="9" t="s">
        <v>19</v>
      </c>
      <c r="C27" s="8"/>
    </row>
    <row r="28">
      <c r="B28" s="10" t="s">
        <v>20</v>
      </c>
      <c r="C28" s="8"/>
    </row>
    <row r="29">
      <c r="B29" s="5"/>
      <c r="C29" s="8"/>
    </row>
    <row r="30">
      <c r="B30" s="11" t="s">
        <v>21</v>
      </c>
      <c r="C30" s="8"/>
    </row>
    <row r="31">
      <c r="B31" s="5"/>
      <c r="C31" s="8"/>
    </row>
    <row r="32">
      <c r="B32" s="9" t="s">
        <v>22</v>
      </c>
      <c r="C32" s="8"/>
    </row>
    <row r="33">
      <c r="B33" s="5" t="s">
        <v>23</v>
      </c>
      <c r="C33" s="8"/>
    </row>
    <row r="34">
      <c r="B34" s="5" t="s">
        <v>24</v>
      </c>
      <c r="C34" s="8"/>
    </row>
    <row r="35">
      <c r="C35" s="8"/>
    </row>
    <row r="36">
      <c r="B36" s="11" t="s">
        <v>21</v>
      </c>
      <c r="C36" s="8"/>
    </row>
    <row r="37">
      <c r="C37" s="8"/>
    </row>
    <row r="38">
      <c r="B38" s="9" t="s">
        <v>25</v>
      </c>
      <c r="C38" s="8"/>
    </row>
    <row r="39">
      <c r="B39" s="5" t="s">
        <v>26</v>
      </c>
      <c r="C39" s="8"/>
    </row>
    <row r="40">
      <c r="A40" s="12"/>
      <c r="B40" s="13" t="s">
        <v>27</v>
      </c>
      <c r="C40" s="14"/>
      <c r="D40" s="12"/>
      <c r="E40" s="12"/>
      <c r="F40" s="12"/>
      <c r="G40" s="12"/>
      <c r="H40" s="12"/>
      <c r="I40" s="12"/>
      <c r="J40" s="12"/>
      <c r="K40" s="12"/>
      <c r="L40" s="12"/>
      <c r="M40" s="12"/>
      <c r="N40" s="12"/>
      <c r="O40" s="12"/>
      <c r="P40" s="12"/>
      <c r="Q40" s="12"/>
      <c r="R40" s="12"/>
      <c r="S40" s="12"/>
      <c r="T40" s="12"/>
      <c r="U40" s="12"/>
      <c r="V40" s="12"/>
      <c r="W40" s="12"/>
      <c r="X40" s="12"/>
      <c r="Y40" s="12"/>
      <c r="Z40" s="12"/>
    </row>
    <row r="41">
      <c r="C41" s="8"/>
    </row>
    <row r="42">
      <c r="B42" s="9" t="s">
        <v>28</v>
      </c>
      <c r="C42" s="15"/>
    </row>
    <row r="43">
      <c r="B43" s="5" t="s">
        <v>29</v>
      </c>
    </row>
    <row r="44">
      <c r="B44" s="5" t="s">
        <v>30</v>
      </c>
    </row>
    <row r="45">
      <c r="B45" s="16"/>
    </row>
    <row r="46">
      <c r="B46" s="3" t="s">
        <v>31</v>
      </c>
    </row>
    <row r="48">
      <c r="B48" s="6" t="s">
        <v>32</v>
      </c>
    </row>
    <row r="49">
      <c r="B49" s="5" t="s">
        <v>33</v>
      </c>
    </row>
    <row r="81">
      <c r="B81" s="17" t="s">
        <v>34</v>
      </c>
    </row>
    <row r="83">
      <c r="B83" s="6" t="s">
        <v>35</v>
      </c>
    </row>
    <row r="84">
      <c r="B84" s="5" t="s">
        <v>36</v>
      </c>
    </row>
    <row r="85">
      <c r="B85" s="5"/>
    </row>
    <row r="86">
      <c r="B86" s="18" t="s">
        <v>37</v>
      </c>
      <c r="C86" s="18" t="s">
        <v>38</v>
      </c>
    </row>
    <row r="87">
      <c r="B87" s="17" t="s">
        <v>39</v>
      </c>
      <c r="C87" s="19" t="str">
        <f>IFERROR(__xludf.DUMMYFUNCTION("SPARKLINE((100-COUNTIF(INDIRECT(B87&amp;""!C:C""), ""TO DO""))/100+0.01,{""charttype"",""bar"";""max"",1.01;""min"",0; ""color1"", ""#4285f4""})"),"")</f>
        <v/>
      </c>
      <c r="D87" s="20" t="str">
        <f t="shared" ref="D87:D91" si="1">(100-COUNTIF(INDIRECT(B87&amp;"!C:C"), "TO DO")) &amp; " / 100"</f>
        <v>100 / 100</v>
      </c>
    </row>
    <row r="88">
      <c r="B88" s="17" t="s">
        <v>40</v>
      </c>
      <c r="C88" s="19" t="str">
        <f>IFERROR(__xludf.DUMMYFUNCTION("SPARKLINE((100-COUNTIF(INDIRECT(B88&amp;""!C:C""), ""TO DO""))/100+0.01,{""charttype"",""bar"";""max"",1.01;""min"",0; ""color1"", ""#4285f4""})"),"")</f>
        <v/>
      </c>
      <c r="D88" s="20" t="str">
        <f t="shared" si="1"/>
        <v>60 / 100</v>
      </c>
    </row>
    <row r="89">
      <c r="B89" s="17" t="s">
        <v>41</v>
      </c>
      <c r="C89" s="19" t="str">
        <f>IFERROR(__xludf.DUMMYFUNCTION("SPARKLINE((100-COUNTIF(INDIRECT(B89&amp;""!C:C""), ""TO DO""))/100+0.01,{""charttype"",""bar"";""max"",1.01;""min"",0; ""color1"", ""#4285f4""})"),"")</f>
        <v/>
      </c>
      <c r="D89" s="20" t="str">
        <f t="shared" si="1"/>
        <v>0 / 100</v>
      </c>
    </row>
    <row r="90">
      <c r="B90" s="17" t="s">
        <v>42</v>
      </c>
      <c r="C90" s="19" t="str">
        <f>IFERROR(__xludf.DUMMYFUNCTION("SPARKLINE((100-COUNTIF(INDIRECT(B90&amp;""!C:C""), ""TO DO""))/100+0.01,{""charttype"",""bar"";""max"",1.01;""min"",0; ""color1"", ""#4285f4""})"),"")</f>
        <v/>
      </c>
      <c r="D90" s="20" t="str">
        <f t="shared" si="1"/>
        <v>100 / 100</v>
      </c>
    </row>
    <row r="91">
      <c r="B91" s="17" t="s">
        <v>43</v>
      </c>
      <c r="C91" s="19" t="str">
        <f>IFERROR(__xludf.DUMMYFUNCTION("SPARKLINE((100-COUNTIF(INDIRECT(B91&amp;""!C:C""), ""TO DO""))/100+0.01,{""charttype"",""bar"";""max"",1.01;""min"",0; ""color1"", ""#4285f4""})"),"")</f>
        <v/>
      </c>
      <c r="D91" s="20" t="str">
        <f t="shared" si="1"/>
        <v>100 / 100</v>
      </c>
    </row>
    <row r="93">
      <c r="B93" s="21" t="s">
        <v>44</v>
      </c>
    </row>
    <row r="95">
      <c r="B95" s="6" t="s">
        <v>45</v>
      </c>
    </row>
    <row r="96">
      <c r="B96" s="5" t="s">
        <v>46</v>
      </c>
    </row>
    <row r="97">
      <c r="B97" s="5"/>
    </row>
    <row r="98">
      <c r="B98" s="5" t="s">
        <v>47</v>
      </c>
    </row>
    <row r="99">
      <c r="B99" s="5"/>
    </row>
    <row r="100">
      <c r="B100" s="22" t="s">
        <v>48</v>
      </c>
    </row>
    <row r="101">
      <c r="B101" s="5" t="s">
        <v>49</v>
      </c>
    </row>
    <row r="102">
      <c r="B102" s="5" t="s">
        <v>50</v>
      </c>
    </row>
    <row r="103">
      <c r="B103" s="5" t="s">
        <v>51</v>
      </c>
    </row>
    <row r="104">
      <c r="B104" s="5" t="s">
        <v>52</v>
      </c>
    </row>
    <row r="105">
      <c r="B105" s="5" t="s">
        <v>53</v>
      </c>
    </row>
    <row r="106">
      <c r="B106" s="5" t="s">
        <v>54</v>
      </c>
    </row>
    <row r="107">
      <c r="B107" s="5" t="s">
        <v>55</v>
      </c>
    </row>
    <row r="108">
      <c r="B108" s="5" t="s">
        <v>56</v>
      </c>
    </row>
    <row r="109">
      <c r="B109" s="5" t="s">
        <v>57</v>
      </c>
    </row>
    <row r="110">
      <c r="B110" s="5" t="s">
        <v>58</v>
      </c>
    </row>
    <row r="111">
      <c r="B111" s="5" t="s">
        <v>59</v>
      </c>
    </row>
    <row r="113">
      <c r="B113" s="22" t="s">
        <v>60</v>
      </c>
    </row>
    <row r="114">
      <c r="B114" s="5" t="s">
        <v>61</v>
      </c>
    </row>
    <row r="115">
      <c r="B115" s="5" t="s">
        <v>62</v>
      </c>
    </row>
    <row r="116">
      <c r="B116" s="5" t="s">
        <v>63</v>
      </c>
    </row>
    <row r="117">
      <c r="B117" s="5" t="s">
        <v>64</v>
      </c>
    </row>
    <row r="118">
      <c r="B118" s="5" t="s">
        <v>65</v>
      </c>
    </row>
    <row r="121">
      <c r="B121" s="13"/>
    </row>
    <row r="122">
      <c r="B122" s="13"/>
    </row>
    <row r="123">
      <c r="B123" s="13"/>
    </row>
    <row r="124">
      <c r="B124" s="13"/>
    </row>
    <row r="125">
      <c r="B125" s="13"/>
    </row>
  </sheetData>
  <dataValidations>
    <dataValidation type="list" allowBlank="1" showErrorMessage="1" sqref="B18:B20">
      <formula1>"TRUE,FALSE,SKIP"</formula1>
    </dataValidation>
  </dataValidations>
  <hyperlinks>
    <hyperlink r:id="rId1" ref="B81"/>
    <hyperlink display="Finn" location="Finn!A1" ref="B87"/>
    <hyperlink display="Gib" location="Gib!A1" ref="B88"/>
    <hyperlink display="Jean-Baptiste" location="'Jean-Baptiste'!A1" ref="B89"/>
    <hyperlink display="Meike" location="Meike!A1" ref="B90"/>
    <hyperlink display="Steve" location="Steve!A1" ref="B9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34.63"/>
  </cols>
  <sheetData>
    <row r="1">
      <c r="A1" s="23" t="s">
        <v>66</v>
      </c>
      <c r="B1" s="24" t="s">
        <v>67</v>
      </c>
      <c r="C1" s="25" t="s">
        <v>68</v>
      </c>
      <c r="D1" s="18" t="s">
        <v>69</v>
      </c>
    </row>
    <row r="2">
      <c r="A2" s="26" t="s">
        <v>70</v>
      </c>
      <c r="B2" s="27" t="s">
        <v>71</v>
      </c>
      <c r="C2" s="28" t="b">
        <v>1</v>
      </c>
    </row>
    <row r="3">
      <c r="A3" s="26" t="s">
        <v>72</v>
      </c>
      <c r="B3" s="27" t="s">
        <v>73</v>
      </c>
      <c r="C3" s="28" t="b">
        <v>0</v>
      </c>
    </row>
    <row r="4">
      <c r="A4" s="26" t="s">
        <v>74</v>
      </c>
      <c r="B4" s="27" t="s">
        <v>75</v>
      </c>
      <c r="C4" s="28" t="b">
        <v>1</v>
      </c>
    </row>
    <row r="5">
      <c r="A5" s="26" t="s">
        <v>76</v>
      </c>
      <c r="B5" s="27" t="s">
        <v>77</v>
      </c>
      <c r="C5" s="28" t="b">
        <v>1</v>
      </c>
      <c r="D5" s="5" t="s">
        <v>78</v>
      </c>
    </row>
    <row r="6">
      <c r="A6" s="26" t="s">
        <v>79</v>
      </c>
      <c r="B6" s="27" t="s">
        <v>80</v>
      </c>
      <c r="C6" s="28" t="b">
        <v>0</v>
      </c>
      <c r="D6" s="5" t="s">
        <v>78</v>
      </c>
    </row>
    <row r="7">
      <c r="A7" s="26" t="s">
        <v>81</v>
      </c>
      <c r="B7" s="27" t="s">
        <v>82</v>
      </c>
      <c r="C7" s="28" t="b">
        <v>1</v>
      </c>
    </row>
    <row r="8">
      <c r="A8" s="26" t="s">
        <v>83</v>
      </c>
      <c r="B8" s="27" t="s">
        <v>84</v>
      </c>
      <c r="C8" s="28" t="b">
        <v>1</v>
      </c>
    </row>
    <row r="9">
      <c r="A9" s="26" t="s">
        <v>85</v>
      </c>
      <c r="B9" s="27" t="s">
        <v>86</v>
      </c>
      <c r="C9" s="28" t="b">
        <v>0</v>
      </c>
    </row>
    <row r="10">
      <c r="A10" s="26" t="s">
        <v>87</v>
      </c>
      <c r="B10" s="27" t="s">
        <v>88</v>
      </c>
      <c r="C10" s="28" t="b">
        <v>1</v>
      </c>
    </row>
    <row r="11">
      <c r="A11" s="26" t="s">
        <v>89</v>
      </c>
      <c r="B11" s="27" t="s">
        <v>90</v>
      </c>
      <c r="C11" s="28" t="b">
        <v>0</v>
      </c>
    </row>
    <row r="12">
      <c r="A12" s="26" t="s">
        <v>91</v>
      </c>
      <c r="B12" s="27" t="s">
        <v>92</v>
      </c>
      <c r="C12" s="28" t="b">
        <v>1</v>
      </c>
    </row>
    <row r="13">
      <c r="A13" s="26" t="s">
        <v>93</v>
      </c>
      <c r="B13" s="27" t="s">
        <v>94</v>
      </c>
      <c r="C13" s="28" t="b">
        <v>1</v>
      </c>
    </row>
    <row r="14">
      <c r="A14" s="26" t="s">
        <v>95</v>
      </c>
      <c r="B14" s="27" t="s">
        <v>96</v>
      </c>
      <c r="C14" s="28" t="b">
        <v>1</v>
      </c>
    </row>
    <row r="15">
      <c r="A15" s="26" t="s">
        <v>97</v>
      </c>
      <c r="B15" s="27" t="s">
        <v>98</v>
      </c>
      <c r="C15" s="28" t="b">
        <v>0</v>
      </c>
    </row>
    <row r="16">
      <c r="A16" s="26" t="s">
        <v>99</v>
      </c>
      <c r="B16" s="27" t="s">
        <v>100</v>
      </c>
      <c r="C16" s="28" t="b">
        <v>1</v>
      </c>
    </row>
    <row r="17">
      <c r="A17" s="26" t="s">
        <v>101</v>
      </c>
      <c r="B17" s="27" t="s">
        <v>102</v>
      </c>
      <c r="C17" s="28" t="b">
        <v>1</v>
      </c>
      <c r="D17" s="5" t="s">
        <v>103</v>
      </c>
    </row>
    <row r="18">
      <c r="A18" s="26" t="s">
        <v>104</v>
      </c>
      <c r="B18" s="27" t="s">
        <v>105</v>
      </c>
      <c r="C18" s="28" t="b">
        <v>1</v>
      </c>
    </row>
    <row r="19">
      <c r="A19" s="26" t="s">
        <v>106</v>
      </c>
      <c r="B19" s="27" t="s">
        <v>107</v>
      </c>
      <c r="C19" s="28" t="b">
        <v>1</v>
      </c>
      <c r="D19" s="5" t="s">
        <v>108</v>
      </c>
    </row>
    <row r="20">
      <c r="A20" s="26" t="s">
        <v>109</v>
      </c>
      <c r="B20" s="27" t="s">
        <v>110</v>
      </c>
      <c r="C20" s="28" t="b">
        <v>1</v>
      </c>
    </row>
    <row r="21">
      <c r="A21" s="26" t="s">
        <v>111</v>
      </c>
      <c r="B21" s="27" t="s">
        <v>112</v>
      </c>
      <c r="C21" s="28" t="b">
        <v>0</v>
      </c>
    </row>
    <row r="22">
      <c r="A22" s="26" t="s">
        <v>113</v>
      </c>
      <c r="B22" s="27" t="s">
        <v>114</v>
      </c>
      <c r="C22" s="28" t="b">
        <v>1</v>
      </c>
    </row>
    <row r="23">
      <c r="A23" s="26" t="s">
        <v>115</v>
      </c>
      <c r="B23" s="27" t="s">
        <v>116</v>
      </c>
      <c r="C23" s="28" t="b">
        <v>1</v>
      </c>
    </row>
    <row r="24">
      <c r="A24" s="26" t="s">
        <v>117</v>
      </c>
      <c r="B24" s="27" t="s">
        <v>118</v>
      </c>
      <c r="C24" s="28" t="b">
        <v>0</v>
      </c>
    </row>
    <row r="25">
      <c r="A25" s="26" t="s">
        <v>119</v>
      </c>
      <c r="B25" s="27" t="s">
        <v>120</v>
      </c>
      <c r="C25" s="28" t="b">
        <v>1</v>
      </c>
    </row>
    <row r="26">
      <c r="A26" s="26" t="s">
        <v>121</v>
      </c>
      <c r="B26" s="27" t="s">
        <v>122</v>
      </c>
      <c r="C26" s="28" t="b">
        <v>0</v>
      </c>
    </row>
    <row r="27">
      <c r="A27" s="26" t="s">
        <v>123</v>
      </c>
      <c r="B27" s="27" t="s">
        <v>124</v>
      </c>
      <c r="C27" s="28" t="b">
        <v>1</v>
      </c>
      <c r="D27" s="5" t="s">
        <v>125</v>
      </c>
    </row>
    <row r="28">
      <c r="A28" s="26" t="s">
        <v>126</v>
      </c>
      <c r="B28" s="27" t="s">
        <v>127</v>
      </c>
      <c r="C28" s="28" t="b">
        <v>0</v>
      </c>
    </row>
    <row r="29">
      <c r="A29" s="26" t="s">
        <v>128</v>
      </c>
      <c r="B29" s="27" t="s">
        <v>129</v>
      </c>
      <c r="C29" s="28" t="b">
        <v>1</v>
      </c>
    </row>
    <row r="30">
      <c r="A30" s="26" t="s">
        <v>130</v>
      </c>
      <c r="B30" s="27" t="s">
        <v>131</v>
      </c>
      <c r="C30" s="28" t="b">
        <v>0</v>
      </c>
    </row>
    <row r="31">
      <c r="A31" s="26" t="s">
        <v>132</v>
      </c>
      <c r="B31" s="27" t="s">
        <v>133</v>
      </c>
      <c r="C31" s="28" t="b">
        <v>1</v>
      </c>
    </row>
    <row r="32">
      <c r="A32" s="26" t="s">
        <v>134</v>
      </c>
      <c r="B32" s="27" t="s">
        <v>135</v>
      </c>
      <c r="C32" s="28" t="b">
        <v>0</v>
      </c>
    </row>
    <row r="33">
      <c r="A33" s="26" t="s">
        <v>136</v>
      </c>
      <c r="B33" s="27" t="s">
        <v>137</v>
      </c>
      <c r="C33" s="28" t="b">
        <v>0</v>
      </c>
    </row>
    <row r="34">
      <c r="A34" s="26" t="s">
        <v>138</v>
      </c>
      <c r="B34" s="27" t="s">
        <v>139</v>
      </c>
      <c r="C34" s="28" t="b">
        <v>0</v>
      </c>
    </row>
    <row r="35">
      <c r="A35" s="26" t="s">
        <v>140</v>
      </c>
      <c r="B35" s="27" t="s">
        <v>141</v>
      </c>
      <c r="C35" s="28" t="b">
        <v>1</v>
      </c>
    </row>
    <row r="36">
      <c r="A36" s="26" t="s">
        <v>142</v>
      </c>
      <c r="B36" s="27" t="s">
        <v>143</v>
      </c>
      <c r="C36" s="28" t="b">
        <v>1</v>
      </c>
    </row>
    <row r="37">
      <c r="A37" s="26" t="s">
        <v>144</v>
      </c>
      <c r="B37" s="27" t="s">
        <v>145</v>
      </c>
      <c r="C37" s="28" t="b">
        <v>1</v>
      </c>
    </row>
    <row r="38">
      <c r="A38" s="26" t="s">
        <v>146</v>
      </c>
      <c r="B38" s="27" t="s">
        <v>147</v>
      </c>
      <c r="C38" s="28" t="b">
        <v>0</v>
      </c>
    </row>
    <row r="39">
      <c r="A39" s="26" t="s">
        <v>148</v>
      </c>
      <c r="B39" s="27" t="s">
        <v>149</v>
      </c>
      <c r="C39" s="28" t="b">
        <v>1</v>
      </c>
    </row>
    <row r="40">
      <c r="A40" s="26" t="s">
        <v>150</v>
      </c>
      <c r="B40" s="27" t="s">
        <v>151</v>
      </c>
      <c r="C40" s="28" t="b">
        <v>0</v>
      </c>
    </row>
    <row r="41">
      <c r="A41" s="26" t="s">
        <v>152</v>
      </c>
      <c r="B41" s="27" t="s">
        <v>153</v>
      </c>
      <c r="C41" s="28" t="b">
        <v>1</v>
      </c>
    </row>
    <row r="42">
      <c r="A42" s="26" t="s">
        <v>154</v>
      </c>
      <c r="B42" s="27" t="s">
        <v>155</v>
      </c>
      <c r="C42" s="28" t="b">
        <v>1</v>
      </c>
    </row>
    <row r="43">
      <c r="A43" s="26" t="s">
        <v>156</v>
      </c>
      <c r="B43" s="27" t="s">
        <v>157</v>
      </c>
      <c r="C43" s="28" t="b">
        <v>1</v>
      </c>
      <c r="D43" s="5" t="s">
        <v>158</v>
      </c>
    </row>
    <row r="44">
      <c r="A44" s="26" t="s">
        <v>159</v>
      </c>
      <c r="B44" s="27" t="s">
        <v>160</v>
      </c>
      <c r="C44" s="28" t="b">
        <v>1</v>
      </c>
    </row>
    <row r="45">
      <c r="A45" s="26" t="s">
        <v>161</v>
      </c>
      <c r="B45" s="27" t="s">
        <v>162</v>
      </c>
      <c r="C45" s="28" t="b">
        <v>1</v>
      </c>
    </row>
    <row r="46">
      <c r="A46" s="26" t="s">
        <v>163</v>
      </c>
      <c r="B46" s="27" t="s">
        <v>164</v>
      </c>
      <c r="C46" s="28" t="b">
        <v>0</v>
      </c>
    </row>
    <row r="47">
      <c r="A47" s="26" t="s">
        <v>165</v>
      </c>
      <c r="B47" s="27" t="s">
        <v>166</v>
      </c>
      <c r="C47" s="28" t="b">
        <v>0</v>
      </c>
    </row>
    <row r="48">
      <c r="A48" s="26" t="s">
        <v>167</v>
      </c>
      <c r="B48" s="27" t="s">
        <v>168</v>
      </c>
      <c r="C48" s="28" t="b">
        <v>1</v>
      </c>
    </row>
    <row r="49">
      <c r="A49" s="26" t="s">
        <v>169</v>
      </c>
      <c r="B49" s="27" t="s">
        <v>170</v>
      </c>
      <c r="C49" s="28" t="b">
        <v>0</v>
      </c>
    </row>
    <row r="50">
      <c r="A50" s="26" t="s">
        <v>171</v>
      </c>
      <c r="B50" s="27" t="s">
        <v>172</v>
      </c>
      <c r="C50" s="28" t="b">
        <v>0</v>
      </c>
    </row>
    <row r="51">
      <c r="A51" s="26" t="s">
        <v>173</v>
      </c>
      <c r="B51" s="27" t="s">
        <v>174</v>
      </c>
      <c r="C51" s="28" t="b">
        <v>1</v>
      </c>
    </row>
    <row r="52">
      <c r="A52" s="26" t="s">
        <v>175</v>
      </c>
      <c r="B52" s="27" t="s">
        <v>176</v>
      </c>
      <c r="C52" s="28" t="b">
        <v>1</v>
      </c>
    </row>
    <row r="53">
      <c r="A53" s="26" t="s">
        <v>177</v>
      </c>
      <c r="B53" s="27" t="s">
        <v>178</v>
      </c>
      <c r="C53" s="28" t="b">
        <v>1</v>
      </c>
    </row>
    <row r="54">
      <c r="A54" s="26" t="s">
        <v>179</v>
      </c>
      <c r="B54" s="27" t="s">
        <v>180</v>
      </c>
      <c r="C54" s="28" t="b">
        <v>1</v>
      </c>
    </row>
    <row r="55">
      <c r="A55" s="26" t="s">
        <v>181</v>
      </c>
      <c r="B55" s="27" t="s">
        <v>182</v>
      </c>
      <c r="C55" s="28" t="b">
        <v>0</v>
      </c>
    </row>
    <row r="56">
      <c r="A56" s="26" t="s">
        <v>183</v>
      </c>
      <c r="B56" s="27" t="s">
        <v>184</v>
      </c>
      <c r="C56" s="28" t="b">
        <v>1</v>
      </c>
    </row>
    <row r="57">
      <c r="A57" s="26" t="s">
        <v>185</v>
      </c>
      <c r="B57" s="27" t="s">
        <v>184</v>
      </c>
      <c r="C57" s="28" t="b">
        <v>0</v>
      </c>
    </row>
    <row r="58">
      <c r="A58" s="26" t="s">
        <v>186</v>
      </c>
      <c r="B58" s="27" t="s">
        <v>187</v>
      </c>
      <c r="C58" s="28" t="b">
        <v>0</v>
      </c>
    </row>
    <row r="59">
      <c r="A59" s="26" t="s">
        <v>188</v>
      </c>
      <c r="B59" s="27" t="s">
        <v>189</v>
      </c>
      <c r="C59" s="28" t="b">
        <v>1</v>
      </c>
    </row>
    <row r="60">
      <c r="A60" s="26" t="s">
        <v>190</v>
      </c>
      <c r="B60" s="27" t="s">
        <v>191</v>
      </c>
      <c r="C60" s="28" t="b">
        <v>0</v>
      </c>
    </row>
    <row r="61">
      <c r="A61" s="26" t="s">
        <v>192</v>
      </c>
      <c r="B61" s="27" t="s">
        <v>193</v>
      </c>
      <c r="C61" s="28" t="b">
        <v>0</v>
      </c>
    </row>
    <row r="62">
      <c r="A62" s="26" t="s">
        <v>194</v>
      </c>
      <c r="B62" s="27" t="s">
        <v>195</v>
      </c>
      <c r="C62" s="28" t="b">
        <v>1</v>
      </c>
    </row>
    <row r="63">
      <c r="A63" s="26" t="s">
        <v>196</v>
      </c>
      <c r="B63" s="27" t="s">
        <v>197</v>
      </c>
      <c r="C63" s="28" t="b">
        <v>1</v>
      </c>
    </row>
    <row r="64">
      <c r="A64" s="26" t="s">
        <v>198</v>
      </c>
      <c r="B64" s="27" t="s">
        <v>199</v>
      </c>
      <c r="C64" s="28" t="b">
        <v>0</v>
      </c>
    </row>
    <row r="65">
      <c r="A65" s="26" t="s">
        <v>200</v>
      </c>
      <c r="B65" s="27" t="s">
        <v>201</v>
      </c>
      <c r="C65" s="28" t="b">
        <v>1</v>
      </c>
    </row>
    <row r="66">
      <c r="A66" s="26" t="s">
        <v>202</v>
      </c>
      <c r="B66" s="27" t="s">
        <v>203</v>
      </c>
      <c r="C66" s="28" t="b">
        <v>0</v>
      </c>
    </row>
    <row r="67">
      <c r="A67" s="26" t="s">
        <v>204</v>
      </c>
      <c r="B67" s="27" t="s">
        <v>205</v>
      </c>
      <c r="C67" s="28" t="b">
        <v>1</v>
      </c>
      <c r="D67" s="5" t="s">
        <v>206</v>
      </c>
    </row>
    <row r="68">
      <c r="A68" s="26" t="s">
        <v>207</v>
      </c>
      <c r="B68" s="27" t="s">
        <v>208</v>
      </c>
      <c r="C68" s="28" t="b">
        <v>0</v>
      </c>
    </row>
    <row r="69">
      <c r="A69" s="26" t="s">
        <v>209</v>
      </c>
      <c r="B69" s="27" t="s">
        <v>210</v>
      </c>
      <c r="C69" s="28" t="b">
        <v>1</v>
      </c>
    </row>
    <row r="70">
      <c r="A70" s="26" t="s">
        <v>211</v>
      </c>
      <c r="B70" s="27" t="s">
        <v>212</v>
      </c>
      <c r="C70" s="28" t="b">
        <v>0</v>
      </c>
    </row>
    <row r="71">
      <c r="A71" s="26" t="s">
        <v>213</v>
      </c>
      <c r="B71" s="27" t="s">
        <v>214</v>
      </c>
      <c r="C71" s="28" t="b">
        <v>0</v>
      </c>
    </row>
    <row r="72">
      <c r="A72" s="26" t="s">
        <v>215</v>
      </c>
      <c r="B72" s="27" t="s">
        <v>216</v>
      </c>
      <c r="C72" s="28" t="b">
        <v>1</v>
      </c>
    </row>
    <row r="73">
      <c r="A73" s="26" t="s">
        <v>217</v>
      </c>
      <c r="B73" s="27" t="s">
        <v>218</v>
      </c>
      <c r="C73" s="28" t="b">
        <v>1</v>
      </c>
    </row>
    <row r="74">
      <c r="A74" s="26" t="s">
        <v>219</v>
      </c>
      <c r="B74" s="27" t="s">
        <v>220</v>
      </c>
      <c r="C74" s="28" t="b">
        <v>1</v>
      </c>
    </row>
    <row r="75">
      <c r="A75" s="26" t="s">
        <v>221</v>
      </c>
      <c r="B75" s="27" t="s">
        <v>222</v>
      </c>
      <c r="C75" s="28" t="b">
        <v>0</v>
      </c>
    </row>
    <row r="76">
      <c r="A76" s="26" t="s">
        <v>223</v>
      </c>
      <c r="B76" s="27" t="s">
        <v>224</v>
      </c>
      <c r="C76" s="28" t="b">
        <v>0</v>
      </c>
    </row>
    <row r="77">
      <c r="A77" s="26" t="s">
        <v>225</v>
      </c>
      <c r="B77" s="27" t="s">
        <v>226</v>
      </c>
      <c r="C77" s="28" t="b">
        <v>1</v>
      </c>
    </row>
    <row r="78">
      <c r="A78" s="26" t="s">
        <v>227</v>
      </c>
      <c r="B78" s="27" t="s">
        <v>228</v>
      </c>
      <c r="C78" s="28" t="b">
        <v>1</v>
      </c>
    </row>
    <row r="79">
      <c r="A79" s="26" t="s">
        <v>229</v>
      </c>
      <c r="B79" s="27" t="s">
        <v>230</v>
      </c>
      <c r="C79" s="28" t="b">
        <v>0</v>
      </c>
    </row>
    <row r="80">
      <c r="A80" s="26" t="s">
        <v>231</v>
      </c>
      <c r="B80" s="27" t="s">
        <v>232</v>
      </c>
      <c r="C80" s="28" t="b">
        <v>1</v>
      </c>
    </row>
    <row r="81">
      <c r="A81" s="26" t="s">
        <v>233</v>
      </c>
      <c r="B81" s="27" t="s">
        <v>234</v>
      </c>
      <c r="C81" s="28" t="b">
        <v>0</v>
      </c>
    </row>
    <row r="82">
      <c r="A82" s="26" t="s">
        <v>235</v>
      </c>
      <c r="B82" s="27" t="s">
        <v>236</v>
      </c>
      <c r="C82" s="28" t="b">
        <v>0</v>
      </c>
    </row>
    <row r="83">
      <c r="A83" s="26" t="s">
        <v>237</v>
      </c>
      <c r="B83" s="27" t="s">
        <v>238</v>
      </c>
      <c r="C83" s="28" t="b">
        <v>1</v>
      </c>
    </row>
    <row r="84">
      <c r="A84" s="26" t="s">
        <v>239</v>
      </c>
      <c r="B84" s="27" t="s">
        <v>240</v>
      </c>
      <c r="C84" s="28" t="b">
        <v>1</v>
      </c>
    </row>
    <row r="85">
      <c r="A85" s="26" t="s">
        <v>241</v>
      </c>
      <c r="B85" s="27" t="s">
        <v>242</v>
      </c>
      <c r="C85" s="28" t="b">
        <v>1</v>
      </c>
    </row>
    <row r="86">
      <c r="A86" s="26" t="s">
        <v>243</v>
      </c>
      <c r="B86" s="27" t="s">
        <v>244</v>
      </c>
      <c r="C86" s="28" t="b">
        <v>1</v>
      </c>
    </row>
    <row r="87">
      <c r="A87" s="26" t="s">
        <v>245</v>
      </c>
      <c r="B87" s="27" t="s">
        <v>246</v>
      </c>
      <c r="C87" s="28" t="b">
        <v>0</v>
      </c>
    </row>
    <row r="88">
      <c r="A88" s="26" t="s">
        <v>247</v>
      </c>
      <c r="B88" s="27" t="s">
        <v>248</v>
      </c>
      <c r="C88" s="28" t="b">
        <v>1</v>
      </c>
    </row>
    <row r="89">
      <c r="A89" s="26" t="s">
        <v>249</v>
      </c>
      <c r="B89" s="27" t="s">
        <v>250</v>
      </c>
      <c r="C89" s="28" t="b">
        <v>0</v>
      </c>
    </row>
    <row r="90">
      <c r="A90" s="26" t="s">
        <v>251</v>
      </c>
      <c r="B90" s="27" t="s">
        <v>252</v>
      </c>
      <c r="C90" s="28" t="b">
        <v>0</v>
      </c>
    </row>
    <row r="91">
      <c r="A91" s="26" t="s">
        <v>253</v>
      </c>
      <c r="B91" s="27" t="s">
        <v>254</v>
      </c>
      <c r="C91" s="28" t="b">
        <v>0</v>
      </c>
    </row>
    <row r="92">
      <c r="A92" s="26" t="s">
        <v>255</v>
      </c>
      <c r="B92" s="27" t="s">
        <v>256</v>
      </c>
      <c r="C92" s="28" t="b">
        <v>1</v>
      </c>
    </row>
    <row r="93">
      <c r="A93" s="26" t="s">
        <v>257</v>
      </c>
      <c r="B93" s="27" t="s">
        <v>258</v>
      </c>
      <c r="C93" s="28" t="b">
        <v>1</v>
      </c>
    </row>
    <row r="94">
      <c r="A94" s="26" t="s">
        <v>259</v>
      </c>
      <c r="B94" s="27" t="s">
        <v>260</v>
      </c>
      <c r="C94" s="28" t="b">
        <v>1</v>
      </c>
    </row>
    <row r="95">
      <c r="A95" s="26" t="s">
        <v>261</v>
      </c>
      <c r="B95" s="27" t="s">
        <v>262</v>
      </c>
      <c r="C95" s="28" t="b">
        <v>1</v>
      </c>
    </row>
    <row r="96">
      <c r="A96" s="26" t="s">
        <v>263</v>
      </c>
      <c r="B96" s="27" t="s">
        <v>264</v>
      </c>
      <c r="C96" s="28" t="b">
        <v>1</v>
      </c>
    </row>
    <row r="97">
      <c r="A97" s="26" t="s">
        <v>265</v>
      </c>
      <c r="B97" s="27" t="s">
        <v>266</v>
      </c>
      <c r="C97" s="28" t="b">
        <v>0</v>
      </c>
    </row>
    <row r="98">
      <c r="A98" s="26" t="s">
        <v>267</v>
      </c>
      <c r="B98" s="27" t="s">
        <v>268</v>
      </c>
      <c r="C98" s="28" t="b">
        <v>0</v>
      </c>
    </row>
    <row r="99">
      <c r="A99" s="26" t="s">
        <v>269</v>
      </c>
      <c r="B99" s="27" t="s">
        <v>270</v>
      </c>
      <c r="C99" s="28" t="b">
        <v>0</v>
      </c>
    </row>
    <row r="100">
      <c r="A100" s="26" t="s">
        <v>271</v>
      </c>
      <c r="B100" s="27" t="s">
        <v>272</v>
      </c>
      <c r="C100" s="28" t="b">
        <v>0</v>
      </c>
    </row>
    <row r="101">
      <c r="A101" s="26" t="s">
        <v>273</v>
      </c>
      <c r="B101" s="27" t="s">
        <v>274</v>
      </c>
      <c r="C101" s="28" t="b">
        <v>0</v>
      </c>
    </row>
  </sheetData>
  <dataValidations>
    <dataValidation type="list" allowBlank="1" showErrorMessage="1" sqref="C2:C101">
      <formula1>"TO DO,TRUE,FALSE,SKIP"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3" t="s">
        <v>66</v>
      </c>
      <c r="B1" s="24" t="s">
        <v>67</v>
      </c>
      <c r="C1" s="25" t="s">
        <v>68</v>
      </c>
      <c r="D1" s="18" t="s">
        <v>69</v>
      </c>
    </row>
    <row r="2">
      <c r="A2" s="26" t="s">
        <v>225</v>
      </c>
      <c r="B2" s="27" t="s">
        <v>226</v>
      </c>
      <c r="C2" s="28" t="b">
        <v>1</v>
      </c>
    </row>
    <row r="3">
      <c r="A3" s="26" t="s">
        <v>140</v>
      </c>
      <c r="B3" s="27" t="s">
        <v>141</v>
      </c>
      <c r="C3" s="28" t="b">
        <v>1</v>
      </c>
    </row>
    <row r="4">
      <c r="A4" s="26" t="s">
        <v>99</v>
      </c>
      <c r="B4" s="27" t="s">
        <v>100</v>
      </c>
      <c r="C4" s="28" t="b">
        <v>1</v>
      </c>
    </row>
    <row r="5">
      <c r="A5" s="26" t="s">
        <v>211</v>
      </c>
      <c r="B5" s="27" t="s">
        <v>212</v>
      </c>
      <c r="C5" s="28" t="b">
        <v>0</v>
      </c>
    </row>
    <row r="6">
      <c r="A6" s="26" t="s">
        <v>87</v>
      </c>
      <c r="B6" s="27" t="s">
        <v>88</v>
      </c>
      <c r="C6" s="28" t="b">
        <v>1</v>
      </c>
    </row>
    <row r="7">
      <c r="A7" s="26" t="s">
        <v>165</v>
      </c>
      <c r="B7" s="27" t="s">
        <v>166</v>
      </c>
      <c r="C7" s="28" t="b">
        <v>0</v>
      </c>
    </row>
    <row r="8">
      <c r="A8" s="26" t="s">
        <v>219</v>
      </c>
      <c r="B8" s="27" t="s">
        <v>220</v>
      </c>
      <c r="C8" s="28" t="b">
        <v>1</v>
      </c>
    </row>
    <row r="9">
      <c r="A9" s="26" t="s">
        <v>152</v>
      </c>
      <c r="B9" s="27" t="s">
        <v>153</v>
      </c>
      <c r="C9" s="28" t="b">
        <v>1</v>
      </c>
      <c r="D9" s="5" t="s">
        <v>275</v>
      </c>
    </row>
    <row r="10">
      <c r="A10" s="26" t="s">
        <v>161</v>
      </c>
      <c r="B10" s="27" t="s">
        <v>162</v>
      </c>
      <c r="C10" s="28" t="b">
        <v>1</v>
      </c>
    </row>
    <row r="11">
      <c r="A11" s="26" t="s">
        <v>243</v>
      </c>
      <c r="B11" s="27" t="s">
        <v>244</v>
      </c>
      <c r="C11" s="28" t="b">
        <v>1</v>
      </c>
    </row>
    <row r="12">
      <c r="A12" s="26" t="s">
        <v>106</v>
      </c>
      <c r="B12" s="27" t="s">
        <v>107</v>
      </c>
      <c r="C12" s="28" t="b">
        <v>0</v>
      </c>
      <c r="D12" s="5" t="s">
        <v>276</v>
      </c>
    </row>
    <row r="13">
      <c r="A13" s="26" t="s">
        <v>150</v>
      </c>
      <c r="B13" s="27" t="s">
        <v>151</v>
      </c>
      <c r="C13" s="28" t="b">
        <v>0</v>
      </c>
    </row>
    <row r="14">
      <c r="A14" s="26" t="s">
        <v>267</v>
      </c>
      <c r="B14" s="27" t="s">
        <v>268</v>
      </c>
      <c r="C14" s="28" t="b">
        <v>0</v>
      </c>
    </row>
    <row r="15">
      <c r="A15" s="26" t="s">
        <v>83</v>
      </c>
      <c r="B15" s="27" t="s">
        <v>84</v>
      </c>
      <c r="C15" s="28" t="b">
        <v>1</v>
      </c>
    </row>
    <row r="16">
      <c r="A16" s="26" t="s">
        <v>126</v>
      </c>
      <c r="B16" s="27" t="s">
        <v>127</v>
      </c>
      <c r="C16" s="28" t="b">
        <v>0</v>
      </c>
    </row>
    <row r="17">
      <c r="A17" s="26" t="s">
        <v>146</v>
      </c>
      <c r="B17" s="27" t="s">
        <v>147</v>
      </c>
      <c r="C17" s="28" t="b">
        <v>0</v>
      </c>
    </row>
    <row r="18">
      <c r="A18" s="26" t="s">
        <v>173</v>
      </c>
      <c r="B18" s="27" t="s">
        <v>174</v>
      </c>
      <c r="C18" s="28" t="b">
        <v>0</v>
      </c>
      <c r="D18" s="5" t="s">
        <v>277</v>
      </c>
    </row>
    <row r="19">
      <c r="A19" s="26" t="s">
        <v>215</v>
      </c>
      <c r="B19" s="27" t="s">
        <v>216</v>
      </c>
      <c r="C19" s="28" t="b">
        <v>1</v>
      </c>
    </row>
    <row r="20">
      <c r="A20" s="26" t="s">
        <v>198</v>
      </c>
      <c r="B20" s="27" t="s">
        <v>199</v>
      </c>
      <c r="C20" s="28" t="b">
        <v>1</v>
      </c>
    </row>
    <row r="21">
      <c r="A21" s="26" t="s">
        <v>207</v>
      </c>
      <c r="B21" s="27" t="s">
        <v>208</v>
      </c>
      <c r="C21" s="28" t="b">
        <v>0</v>
      </c>
    </row>
    <row r="22">
      <c r="A22" s="26" t="s">
        <v>255</v>
      </c>
      <c r="B22" s="27" t="s">
        <v>256</v>
      </c>
      <c r="C22" s="28" t="b">
        <v>1</v>
      </c>
    </row>
    <row r="23">
      <c r="A23" s="26" t="s">
        <v>233</v>
      </c>
      <c r="B23" s="27" t="s">
        <v>234</v>
      </c>
      <c r="C23" s="28" t="b">
        <v>0</v>
      </c>
    </row>
    <row r="24">
      <c r="A24" s="26" t="s">
        <v>163</v>
      </c>
      <c r="B24" s="27" t="s">
        <v>164</v>
      </c>
      <c r="C24" s="28" t="b">
        <v>0</v>
      </c>
      <c r="D24" s="5" t="s">
        <v>278</v>
      </c>
    </row>
    <row r="25">
      <c r="A25" s="26" t="s">
        <v>239</v>
      </c>
      <c r="B25" s="27" t="s">
        <v>240</v>
      </c>
      <c r="C25" s="28" t="b">
        <v>1</v>
      </c>
    </row>
    <row r="26">
      <c r="A26" s="26" t="s">
        <v>79</v>
      </c>
      <c r="B26" s="27" t="s">
        <v>80</v>
      </c>
      <c r="C26" s="28" t="b">
        <v>0</v>
      </c>
    </row>
    <row r="27">
      <c r="A27" s="26" t="s">
        <v>241</v>
      </c>
      <c r="B27" s="27" t="s">
        <v>242</v>
      </c>
      <c r="C27" s="28" t="b">
        <v>0</v>
      </c>
    </row>
    <row r="28">
      <c r="A28" s="26" t="s">
        <v>169</v>
      </c>
      <c r="B28" s="27" t="s">
        <v>170</v>
      </c>
      <c r="C28" s="28" t="b">
        <v>0</v>
      </c>
      <c r="D28" s="5" t="s">
        <v>279</v>
      </c>
    </row>
    <row r="29">
      <c r="A29" s="26" t="s">
        <v>109</v>
      </c>
      <c r="B29" s="27" t="s">
        <v>110</v>
      </c>
      <c r="C29" s="28" t="b">
        <v>1</v>
      </c>
    </row>
    <row r="30">
      <c r="A30" s="26" t="s">
        <v>117</v>
      </c>
      <c r="B30" s="27" t="s">
        <v>118</v>
      </c>
      <c r="C30" s="28" t="b">
        <v>0</v>
      </c>
    </row>
    <row r="31">
      <c r="A31" s="26" t="s">
        <v>223</v>
      </c>
      <c r="B31" s="27" t="s">
        <v>224</v>
      </c>
      <c r="C31" s="28" t="b">
        <v>0</v>
      </c>
      <c r="D31" s="5" t="s">
        <v>280</v>
      </c>
    </row>
    <row r="32">
      <c r="A32" s="26" t="s">
        <v>142</v>
      </c>
      <c r="B32" s="27" t="s">
        <v>143</v>
      </c>
      <c r="C32" s="28" t="b">
        <v>1</v>
      </c>
    </row>
    <row r="33">
      <c r="A33" s="26" t="s">
        <v>217</v>
      </c>
      <c r="B33" s="27" t="s">
        <v>218</v>
      </c>
      <c r="C33" s="28" t="b">
        <v>1</v>
      </c>
    </row>
    <row r="34">
      <c r="A34" s="26" t="s">
        <v>245</v>
      </c>
      <c r="B34" s="27" t="s">
        <v>246</v>
      </c>
      <c r="C34" s="28" t="b">
        <v>0</v>
      </c>
    </row>
    <row r="35">
      <c r="A35" s="26" t="s">
        <v>130</v>
      </c>
      <c r="B35" s="27" t="s">
        <v>131</v>
      </c>
      <c r="C35" s="28" t="b">
        <v>0</v>
      </c>
    </row>
    <row r="36">
      <c r="A36" s="26" t="s">
        <v>97</v>
      </c>
      <c r="B36" s="27" t="s">
        <v>98</v>
      </c>
      <c r="C36" s="28" t="b">
        <v>0</v>
      </c>
      <c r="D36" s="5" t="s">
        <v>281</v>
      </c>
    </row>
    <row r="37">
      <c r="A37" s="26" t="s">
        <v>74</v>
      </c>
      <c r="B37" s="27" t="s">
        <v>75</v>
      </c>
      <c r="C37" s="28" t="b">
        <v>1</v>
      </c>
      <c r="D37" s="5" t="s">
        <v>282</v>
      </c>
    </row>
    <row r="38">
      <c r="A38" s="26" t="s">
        <v>111</v>
      </c>
      <c r="B38" s="27" t="s">
        <v>112</v>
      </c>
      <c r="C38" s="28" t="b">
        <v>0</v>
      </c>
      <c r="D38" s="5" t="s">
        <v>283</v>
      </c>
    </row>
    <row r="39">
      <c r="A39" s="26" t="s">
        <v>237</v>
      </c>
      <c r="B39" s="27" t="s">
        <v>238</v>
      </c>
      <c r="C39" s="28" t="b">
        <v>0</v>
      </c>
    </row>
    <row r="40">
      <c r="A40" s="26" t="s">
        <v>128</v>
      </c>
      <c r="B40" s="27" t="s">
        <v>129</v>
      </c>
      <c r="C40" s="28" t="b">
        <v>1</v>
      </c>
    </row>
    <row r="41">
      <c r="A41" s="26" t="s">
        <v>204</v>
      </c>
      <c r="B41" s="27" t="s">
        <v>205</v>
      </c>
      <c r="C41" s="28" t="s">
        <v>14</v>
      </c>
      <c r="D41" s="5" t="s">
        <v>284</v>
      </c>
    </row>
    <row r="42">
      <c r="A42" s="26" t="s">
        <v>121</v>
      </c>
      <c r="B42" s="27" t="s">
        <v>122</v>
      </c>
      <c r="C42" s="28" t="b">
        <v>0</v>
      </c>
    </row>
    <row r="43">
      <c r="A43" s="26" t="s">
        <v>138</v>
      </c>
      <c r="B43" s="27" t="s">
        <v>139</v>
      </c>
      <c r="C43" s="28" t="b">
        <v>0</v>
      </c>
    </row>
    <row r="44">
      <c r="A44" s="26" t="s">
        <v>263</v>
      </c>
      <c r="B44" s="27" t="s">
        <v>264</v>
      </c>
      <c r="C44" s="28" t="b">
        <v>1</v>
      </c>
    </row>
    <row r="45">
      <c r="A45" s="26" t="s">
        <v>200</v>
      </c>
      <c r="B45" s="27" t="s">
        <v>201</v>
      </c>
      <c r="C45" s="28" t="b">
        <v>1</v>
      </c>
    </row>
    <row r="46">
      <c r="A46" s="26" t="s">
        <v>148</v>
      </c>
      <c r="B46" s="27" t="s">
        <v>149</v>
      </c>
      <c r="C46" s="28" t="b">
        <v>0</v>
      </c>
      <c r="D46" s="5" t="s">
        <v>285</v>
      </c>
    </row>
    <row r="47">
      <c r="A47" s="26" t="s">
        <v>134</v>
      </c>
      <c r="B47" s="27" t="s">
        <v>135</v>
      </c>
      <c r="C47" s="28" t="b">
        <v>0</v>
      </c>
    </row>
    <row r="48">
      <c r="A48" s="26" t="s">
        <v>175</v>
      </c>
      <c r="B48" s="27" t="s">
        <v>176</v>
      </c>
      <c r="C48" s="28" t="b">
        <v>1</v>
      </c>
    </row>
    <row r="49">
      <c r="A49" s="26" t="s">
        <v>265</v>
      </c>
      <c r="B49" s="27" t="s">
        <v>266</v>
      </c>
      <c r="C49" s="28" t="b">
        <v>1</v>
      </c>
    </row>
    <row r="50">
      <c r="A50" s="26" t="s">
        <v>247</v>
      </c>
      <c r="B50" s="27" t="s">
        <v>248</v>
      </c>
      <c r="C50" s="28" t="b">
        <v>1</v>
      </c>
      <c r="D50" s="5" t="s">
        <v>286</v>
      </c>
    </row>
    <row r="51">
      <c r="A51" s="26" t="s">
        <v>119</v>
      </c>
      <c r="B51" s="27" t="s">
        <v>120</v>
      </c>
      <c r="C51" s="28" t="b">
        <v>1</v>
      </c>
    </row>
    <row r="52">
      <c r="A52" s="26" t="s">
        <v>229</v>
      </c>
      <c r="B52" s="27" t="s">
        <v>230</v>
      </c>
      <c r="C52" s="28" t="b">
        <v>0</v>
      </c>
      <c r="D52" s="5" t="s">
        <v>287</v>
      </c>
    </row>
    <row r="53">
      <c r="A53" s="26" t="s">
        <v>188</v>
      </c>
      <c r="B53" s="27" t="s">
        <v>189</v>
      </c>
      <c r="C53" s="28" t="b">
        <v>1</v>
      </c>
    </row>
    <row r="54">
      <c r="A54" s="26" t="s">
        <v>181</v>
      </c>
      <c r="B54" s="27" t="s">
        <v>182</v>
      </c>
      <c r="C54" s="28" t="b">
        <v>0</v>
      </c>
    </row>
    <row r="55">
      <c r="A55" s="26" t="s">
        <v>159</v>
      </c>
      <c r="B55" s="27" t="s">
        <v>160</v>
      </c>
      <c r="C55" s="28" t="b">
        <v>1</v>
      </c>
    </row>
    <row r="56">
      <c r="A56" s="26" t="s">
        <v>70</v>
      </c>
      <c r="B56" s="27" t="s">
        <v>71</v>
      </c>
      <c r="C56" s="28" t="b">
        <v>1</v>
      </c>
    </row>
    <row r="57">
      <c r="A57" s="26" t="s">
        <v>261</v>
      </c>
      <c r="B57" s="27" t="s">
        <v>262</v>
      </c>
      <c r="C57" s="28" t="s">
        <v>288</v>
      </c>
    </row>
    <row r="58">
      <c r="A58" s="26" t="s">
        <v>209</v>
      </c>
      <c r="B58" s="27" t="s">
        <v>210</v>
      </c>
      <c r="C58" s="28" t="b">
        <v>1</v>
      </c>
    </row>
    <row r="59">
      <c r="A59" s="26" t="s">
        <v>123</v>
      </c>
      <c r="B59" s="27" t="s">
        <v>124</v>
      </c>
      <c r="C59" s="28" t="b">
        <v>1</v>
      </c>
    </row>
    <row r="60">
      <c r="A60" s="26" t="s">
        <v>235</v>
      </c>
      <c r="B60" s="27" t="s">
        <v>236</v>
      </c>
      <c r="C60" s="28" t="b">
        <v>0</v>
      </c>
    </row>
    <row r="61">
      <c r="A61" s="26" t="s">
        <v>213</v>
      </c>
      <c r="B61" s="27" t="s">
        <v>214</v>
      </c>
      <c r="C61" s="28" t="b">
        <v>0</v>
      </c>
    </row>
    <row r="62">
      <c r="A62" s="26" t="s">
        <v>185</v>
      </c>
      <c r="B62" s="27" t="s">
        <v>289</v>
      </c>
      <c r="C62" s="28" t="b">
        <v>0</v>
      </c>
    </row>
    <row r="63">
      <c r="A63" s="26" t="s">
        <v>76</v>
      </c>
      <c r="B63" s="27" t="s">
        <v>77</v>
      </c>
      <c r="C63" s="28" t="s">
        <v>288</v>
      </c>
    </row>
    <row r="64">
      <c r="A64" s="26" t="s">
        <v>144</v>
      </c>
      <c r="B64" s="27" t="s">
        <v>145</v>
      </c>
      <c r="C64" s="28" t="s">
        <v>288</v>
      </c>
    </row>
    <row r="65">
      <c r="A65" s="26" t="s">
        <v>179</v>
      </c>
      <c r="B65" s="27" t="s">
        <v>180</v>
      </c>
      <c r="C65" s="28" t="s">
        <v>288</v>
      </c>
    </row>
    <row r="66">
      <c r="A66" s="26" t="s">
        <v>167</v>
      </c>
      <c r="B66" s="27" t="s">
        <v>168</v>
      </c>
      <c r="C66" s="28" t="s">
        <v>288</v>
      </c>
    </row>
    <row r="67">
      <c r="A67" s="26" t="s">
        <v>95</v>
      </c>
      <c r="B67" s="27" t="s">
        <v>96</v>
      </c>
      <c r="C67" s="28" t="s">
        <v>288</v>
      </c>
    </row>
    <row r="68">
      <c r="A68" s="26" t="s">
        <v>259</v>
      </c>
      <c r="B68" s="27" t="s">
        <v>260</v>
      </c>
      <c r="C68" s="28" t="s">
        <v>288</v>
      </c>
    </row>
    <row r="69">
      <c r="A69" s="26" t="s">
        <v>93</v>
      </c>
      <c r="B69" s="27" t="s">
        <v>94</v>
      </c>
      <c r="C69" s="28" t="s">
        <v>288</v>
      </c>
    </row>
    <row r="70">
      <c r="A70" s="26" t="s">
        <v>85</v>
      </c>
      <c r="B70" s="27" t="s">
        <v>86</v>
      </c>
      <c r="C70" s="28" t="s">
        <v>288</v>
      </c>
    </row>
    <row r="71">
      <c r="A71" s="26" t="s">
        <v>271</v>
      </c>
      <c r="B71" s="27" t="s">
        <v>272</v>
      </c>
      <c r="C71" s="28" t="s">
        <v>288</v>
      </c>
    </row>
    <row r="72">
      <c r="A72" s="26" t="s">
        <v>196</v>
      </c>
      <c r="B72" s="27" t="s">
        <v>197</v>
      </c>
      <c r="C72" s="28" t="s">
        <v>288</v>
      </c>
    </row>
    <row r="73">
      <c r="A73" s="26" t="s">
        <v>231</v>
      </c>
      <c r="B73" s="27" t="s">
        <v>232</v>
      </c>
      <c r="C73" s="28" t="s">
        <v>288</v>
      </c>
    </row>
    <row r="74">
      <c r="A74" s="26" t="s">
        <v>249</v>
      </c>
      <c r="B74" s="27" t="s">
        <v>250</v>
      </c>
      <c r="C74" s="28" t="s">
        <v>288</v>
      </c>
    </row>
    <row r="75">
      <c r="A75" s="26" t="s">
        <v>273</v>
      </c>
      <c r="B75" s="27" t="s">
        <v>274</v>
      </c>
      <c r="C75" s="28" t="s">
        <v>288</v>
      </c>
    </row>
    <row r="76">
      <c r="A76" s="26" t="s">
        <v>227</v>
      </c>
      <c r="B76" s="27" t="s">
        <v>228</v>
      </c>
      <c r="C76" s="28" t="s">
        <v>288</v>
      </c>
    </row>
    <row r="77">
      <c r="A77" s="26" t="s">
        <v>101</v>
      </c>
      <c r="B77" s="27" t="s">
        <v>102</v>
      </c>
      <c r="C77" s="28" t="s">
        <v>288</v>
      </c>
    </row>
    <row r="78">
      <c r="A78" s="26" t="s">
        <v>132</v>
      </c>
      <c r="B78" s="27" t="s">
        <v>133</v>
      </c>
      <c r="C78" s="28" t="s">
        <v>288</v>
      </c>
    </row>
    <row r="79">
      <c r="A79" s="26" t="s">
        <v>192</v>
      </c>
      <c r="B79" s="27" t="s">
        <v>193</v>
      </c>
      <c r="C79" s="28" t="s">
        <v>288</v>
      </c>
    </row>
    <row r="80">
      <c r="A80" s="26" t="s">
        <v>115</v>
      </c>
      <c r="B80" s="27" t="s">
        <v>116</v>
      </c>
      <c r="C80" s="28" t="s">
        <v>288</v>
      </c>
    </row>
    <row r="81">
      <c r="A81" s="26" t="s">
        <v>257</v>
      </c>
      <c r="B81" s="27" t="s">
        <v>258</v>
      </c>
      <c r="C81" s="28" t="s">
        <v>288</v>
      </c>
    </row>
    <row r="82">
      <c r="A82" s="26" t="s">
        <v>156</v>
      </c>
      <c r="B82" s="27" t="s">
        <v>157</v>
      </c>
      <c r="C82" s="28" t="s">
        <v>288</v>
      </c>
    </row>
    <row r="83">
      <c r="A83" s="26" t="s">
        <v>177</v>
      </c>
      <c r="B83" s="27" t="s">
        <v>178</v>
      </c>
      <c r="C83" s="28" t="s">
        <v>288</v>
      </c>
    </row>
    <row r="84">
      <c r="A84" s="26" t="s">
        <v>202</v>
      </c>
      <c r="B84" s="27" t="s">
        <v>203</v>
      </c>
      <c r="C84" s="28" t="s">
        <v>288</v>
      </c>
    </row>
    <row r="85">
      <c r="A85" s="26" t="s">
        <v>190</v>
      </c>
      <c r="B85" s="27" t="s">
        <v>191</v>
      </c>
      <c r="C85" s="28" t="s">
        <v>288</v>
      </c>
    </row>
    <row r="86">
      <c r="A86" s="26" t="s">
        <v>171</v>
      </c>
      <c r="B86" s="27" t="s">
        <v>172</v>
      </c>
      <c r="C86" s="28" t="s">
        <v>288</v>
      </c>
    </row>
    <row r="87">
      <c r="A87" s="26" t="s">
        <v>104</v>
      </c>
      <c r="B87" s="27" t="s">
        <v>105</v>
      </c>
      <c r="C87" s="28" t="s">
        <v>288</v>
      </c>
    </row>
    <row r="88">
      <c r="A88" s="26" t="s">
        <v>253</v>
      </c>
      <c r="B88" s="27" t="s">
        <v>254</v>
      </c>
      <c r="C88" s="28" t="s">
        <v>288</v>
      </c>
    </row>
    <row r="89">
      <c r="A89" s="26" t="s">
        <v>251</v>
      </c>
      <c r="B89" s="27" t="s">
        <v>252</v>
      </c>
      <c r="C89" s="28" t="s">
        <v>288</v>
      </c>
    </row>
    <row r="90">
      <c r="A90" s="26" t="s">
        <v>154</v>
      </c>
      <c r="B90" s="27" t="s">
        <v>155</v>
      </c>
      <c r="C90" s="28" t="s">
        <v>288</v>
      </c>
    </row>
    <row r="91">
      <c r="A91" s="26" t="s">
        <v>113</v>
      </c>
      <c r="B91" s="27" t="s">
        <v>114</v>
      </c>
      <c r="C91" s="28" t="s">
        <v>288</v>
      </c>
    </row>
    <row r="92">
      <c r="A92" s="26" t="s">
        <v>91</v>
      </c>
      <c r="B92" s="27" t="s">
        <v>92</v>
      </c>
      <c r="C92" s="28" t="s">
        <v>288</v>
      </c>
    </row>
    <row r="93">
      <c r="A93" s="26" t="s">
        <v>136</v>
      </c>
      <c r="B93" s="27" t="s">
        <v>137</v>
      </c>
      <c r="C93" s="28" t="s">
        <v>288</v>
      </c>
    </row>
    <row r="94">
      <c r="A94" s="26" t="s">
        <v>194</v>
      </c>
      <c r="B94" s="27" t="s">
        <v>195</v>
      </c>
      <c r="C94" s="28" t="s">
        <v>288</v>
      </c>
    </row>
    <row r="95">
      <c r="A95" s="26" t="s">
        <v>81</v>
      </c>
      <c r="B95" s="27" t="s">
        <v>82</v>
      </c>
      <c r="C95" s="28" t="s">
        <v>288</v>
      </c>
    </row>
    <row r="96">
      <c r="A96" s="26" t="s">
        <v>72</v>
      </c>
      <c r="B96" s="27" t="s">
        <v>73</v>
      </c>
      <c r="C96" s="28" t="s">
        <v>288</v>
      </c>
    </row>
    <row r="97">
      <c r="A97" s="26" t="s">
        <v>89</v>
      </c>
      <c r="B97" s="27" t="s">
        <v>90</v>
      </c>
      <c r="C97" s="28" t="s">
        <v>288</v>
      </c>
    </row>
    <row r="98">
      <c r="A98" s="26" t="s">
        <v>221</v>
      </c>
      <c r="B98" s="27" t="s">
        <v>222</v>
      </c>
      <c r="C98" s="28" t="s">
        <v>288</v>
      </c>
    </row>
    <row r="99">
      <c r="A99" s="26" t="s">
        <v>269</v>
      </c>
      <c r="B99" s="27" t="s">
        <v>270</v>
      </c>
      <c r="C99" s="28" t="s">
        <v>288</v>
      </c>
    </row>
    <row r="100">
      <c r="A100" s="26" t="s">
        <v>183</v>
      </c>
      <c r="B100" s="27" t="s">
        <v>184</v>
      </c>
      <c r="C100" s="28" t="s">
        <v>288</v>
      </c>
    </row>
    <row r="101">
      <c r="A101" s="26" t="s">
        <v>186</v>
      </c>
      <c r="B101" s="27" t="s">
        <v>187</v>
      </c>
      <c r="C101" s="28" t="s">
        <v>288</v>
      </c>
    </row>
  </sheetData>
  <dataValidations>
    <dataValidation type="list" allowBlank="1" showErrorMessage="1" sqref="C2:C101">
      <formula1>"TO DO,TRUE,FALSE,SKIP"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3" t="s">
        <v>66</v>
      </c>
      <c r="B1" s="24" t="s">
        <v>67</v>
      </c>
      <c r="C1" s="25" t="s">
        <v>68</v>
      </c>
      <c r="D1" s="18" t="s">
        <v>69</v>
      </c>
    </row>
    <row r="2">
      <c r="A2" s="26" t="s">
        <v>200</v>
      </c>
      <c r="B2" s="27" t="s">
        <v>201</v>
      </c>
      <c r="C2" s="28" t="s">
        <v>288</v>
      </c>
    </row>
    <row r="3">
      <c r="A3" s="26" t="s">
        <v>148</v>
      </c>
      <c r="B3" s="27" t="s">
        <v>149</v>
      </c>
      <c r="C3" s="28" t="s">
        <v>288</v>
      </c>
    </row>
    <row r="4">
      <c r="A4" s="26" t="s">
        <v>91</v>
      </c>
      <c r="B4" s="27" t="s">
        <v>92</v>
      </c>
      <c r="C4" s="28" t="s">
        <v>288</v>
      </c>
    </row>
    <row r="5">
      <c r="A5" s="26" t="s">
        <v>173</v>
      </c>
      <c r="B5" s="27" t="s">
        <v>174</v>
      </c>
      <c r="C5" s="28" t="s">
        <v>288</v>
      </c>
    </row>
    <row r="6">
      <c r="A6" s="26" t="s">
        <v>72</v>
      </c>
      <c r="B6" s="27" t="s">
        <v>73</v>
      </c>
      <c r="C6" s="28" t="s">
        <v>288</v>
      </c>
    </row>
    <row r="7">
      <c r="A7" s="26" t="s">
        <v>128</v>
      </c>
      <c r="B7" s="27" t="s">
        <v>129</v>
      </c>
      <c r="C7" s="28" t="s">
        <v>288</v>
      </c>
    </row>
    <row r="8">
      <c r="A8" s="26" t="s">
        <v>239</v>
      </c>
      <c r="B8" s="27" t="s">
        <v>240</v>
      </c>
      <c r="C8" s="28" t="s">
        <v>288</v>
      </c>
    </row>
    <row r="9">
      <c r="A9" s="26" t="s">
        <v>167</v>
      </c>
      <c r="B9" s="27" t="s">
        <v>168</v>
      </c>
      <c r="C9" s="28" t="s">
        <v>288</v>
      </c>
    </row>
    <row r="10">
      <c r="A10" s="26" t="s">
        <v>263</v>
      </c>
      <c r="B10" s="27" t="s">
        <v>264</v>
      </c>
      <c r="C10" s="28" t="s">
        <v>288</v>
      </c>
    </row>
    <row r="11">
      <c r="A11" s="26" t="s">
        <v>115</v>
      </c>
      <c r="B11" s="27" t="s">
        <v>116</v>
      </c>
      <c r="C11" s="28" t="s">
        <v>288</v>
      </c>
    </row>
    <row r="12">
      <c r="A12" s="26" t="s">
        <v>163</v>
      </c>
      <c r="B12" s="27" t="s">
        <v>164</v>
      </c>
      <c r="C12" s="28" t="s">
        <v>288</v>
      </c>
    </row>
    <row r="13">
      <c r="A13" s="26" t="s">
        <v>235</v>
      </c>
      <c r="B13" s="27" t="s">
        <v>236</v>
      </c>
      <c r="C13" s="28" t="s">
        <v>288</v>
      </c>
    </row>
    <row r="14">
      <c r="A14" s="26" t="s">
        <v>142</v>
      </c>
      <c r="B14" s="27" t="s">
        <v>143</v>
      </c>
      <c r="C14" s="28" t="s">
        <v>288</v>
      </c>
    </row>
    <row r="15">
      <c r="A15" s="26" t="s">
        <v>109</v>
      </c>
      <c r="B15" s="27" t="s">
        <v>110</v>
      </c>
      <c r="C15" s="28" t="s">
        <v>288</v>
      </c>
    </row>
    <row r="16">
      <c r="A16" s="26" t="s">
        <v>95</v>
      </c>
      <c r="B16" s="27" t="s">
        <v>96</v>
      </c>
      <c r="C16" s="28" t="s">
        <v>288</v>
      </c>
    </row>
    <row r="17">
      <c r="A17" s="26" t="s">
        <v>126</v>
      </c>
      <c r="B17" s="27" t="s">
        <v>127</v>
      </c>
      <c r="C17" s="28" t="s">
        <v>288</v>
      </c>
    </row>
    <row r="18">
      <c r="A18" s="26" t="s">
        <v>209</v>
      </c>
      <c r="B18" s="27" t="s">
        <v>210</v>
      </c>
      <c r="C18" s="28" t="s">
        <v>288</v>
      </c>
    </row>
    <row r="19">
      <c r="A19" s="26" t="s">
        <v>144</v>
      </c>
      <c r="B19" s="27" t="s">
        <v>145</v>
      </c>
      <c r="C19" s="28" t="s">
        <v>288</v>
      </c>
    </row>
    <row r="20">
      <c r="A20" s="26" t="s">
        <v>271</v>
      </c>
      <c r="B20" s="27" t="s">
        <v>272</v>
      </c>
      <c r="C20" s="28" t="s">
        <v>288</v>
      </c>
    </row>
    <row r="21">
      <c r="A21" s="26" t="s">
        <v>237</v>
      </c>
      <c r="B21" s="27" t="s">
        <v>238</v>
      </c>
      <c r="C21" s="28" t="s">
        <v>288</v>
      </c>
    </row>
    <row r="22">
      <c r="A22" s="26" t="s">
        <v>245</v>
      </c>
      <c r="B22" s="27" t="s">
        <v>246</v>
      </c>
      <c r="C22" s="28" t="s">
        <v>288</v>
      </c>
    </row>
    <row r="23">
      <c r="A23" s="26" t="s">
        <v>181</v>
      </c>
      <c r="B23" s="27" t="s">
        <v>182</v>
      </c>
      <c r="C23" s="28" t="s">
        <v>288</v>
      </c>
    </row>
    <row r="24">
      <c r="A24" s="26" t="s">
        <v>183</v>
      </c>
      <c r="B24" s="27" t="s">
        <v>184</v>
      </c>
      <c r="C24" s="28" t="s">
        <v>288</v>
      </c>
    </row>
    <row r="25">
      <c r="A25" s="26" t="s">
        <v>76</v>
      </c>
      <c r="B25" s="27" t="s">
        <v>77</v>
      </c>
      <c r="C25" s="28" t="s">
        <v>288</v>
      </c>
    </row>
    <row r="26">
      <c r="A26" s="26" t="s">
        <v>251</v>
      </c>
      <c r="B26" s="27" t="s">
        <v>252</v>
      </c>
      <c r="C26" s="28" t="s">
        <v>288</v>
      </c>
    </row>
    <row r="27">
      <c r="A27" s="26" t="s">
        <v>79</v>
      </c>
      <c r="B27" s="27" t="s">
        <v>80</v>
      </c>
      <c r="C27" s="28" t="s">
        <v>288</v>
      </c>
    </row>
    <row r="28">
      <c r="A28" s="26" t="s">
        <v>152</v>
      </c>
      <c r="B28" s="27" t="s">
        <v>153</v>
      </c>
      <c r="C28" s="28" t="s">
        <v>288</v>
      </c>
    </row>
    <row r="29">
      <c r="A29" s="26" t="s">
        <v>171</v>
      </c>
      <c r="B29" s="27" t="s">
        <v>172</v>
      </c>
      <c r="C29" s="28" t="s">
        <v>288</v>
      </c>
    </row>
    <row r="30">
      <c r="A30" s="26" t="s">
        <v>119</v>
      </c>
      <c r="B30" s="27" t="s">
        <v>120</v>
      </c>
      <c r="C30" s="28" t="s">
        <v>288</v>
      </c>
    </row>
    <row r="31">
      <c r="A31" s="26" t="s">
        <v>231</v>
      </c>
      <c r="B31" s="27" t="s">
        <v>232</v>
      </c>
      <c r="C31" s="28" t="s">
        <v>288</v>
      </c>
    </row>
    <row r="32">
      <c r="A32" s="26" t="s">
        <v>219</v>
      </c>
      <c r="B32" s="27" t="s">
        <v>220</v>
      </c>
      <c r="C32" s="28" t="s">
        <v>288</v>
      </c>
    </row>
    <row r="33">
      <c r="A33" s="26" t="s">
        <v>267</v>
      </c>
      <c r="B33" s="27" t="s">
        <v>268</v>
      </c>
      <c r="C33" s="28" t="s">
        <v>288</v>
      </c>
    </row>
    <row r="34">
      <c r="A34" s="26" t="s">
        <v>89</v>
      </c>
      <c r="B34" s="27" t="s">
        <v>90</v>
      </c>
      <c r="C34" s="28" t="s">
        <v>288</v>
      </c>
    </row>
    <row r="35">
      <c r="A35" s="26" t="s">
        <v>132</v>
      </c>
      <c r="B35" s="27" t="s">
        <v>133</v>
      </c>
      <c r="C35" s="28" t="s">
        <v>288</v>
      </c>
    </row>
    <row r="36">
      <c r="A36" s="26" t="s">
        <v>198</v>
      </c>
      <c r="B36" s="27" t="s">
        <v>199</v>
      </c>
      <c r="C36" s="28" t="s">
        <v>288</v>
      </c>
    </row>
    <row r="37">
      <c r="A37" s="26" t="s">
        <v>150</v>
      </c>
      <c r="B37" s="27" t="s">
        <v>151</v>
      </c>
      <c r="C37" s="28" t="s">
        <v>288</v>
      </c>
    </row>
    <row r="38">
      <c r="A38" s="26" t="s">
        <v>165</v>
      </c>
      <c r="B38" s="27" t="s">
        <v>166</v>
      </c>
      <c r="C38" s="28" t="s">
        <v>288</v>
      </c>
    </row>
    <row r="39">
      <c r="A39" s="26" t="s">
        <v>223</v>
      </c>
      <c r="B39" s="27" t="s">
        <v>224</v>
      </c>
      <c r="C39" s="28" t="s">
        <v>288</v>
      </c>
    </row>
    <row r="40">
      <c r="A40" s="26" t="s">
        <v>136</v>
      </c>
      <c r="B40" s="27" t="s">
        <v>137</v>
      </c>
      <c r="C40" s="28" t="s">
        <v>288</v>
      </c>
    </row>
    <row r="41">
      <c r="A41" s="26" t="s">
        <v>111</v>
      </c>
      <c r="B41" s="27" t="s">
        <v>112</v>
      </c>
      <c r="C41" s="28" t="s">
        <v>288</v>
      </c>
    </row>
    <row r="42">
      <c r="A42" s="26" t="s">
        <v>247</v>
      </c>
      <c r="B42" s="27" t="s">
        <v>248</v>
      </c>
      <c r="C42" s="28" t="s">
        <v>288</v>
      </c>
    </row>
    <row r="43">
      <c r="A43" s="26" t="s">
        <v>255</v>
      </c>
      <c r="B43" s="27" t="s">
        <v>256</v>
      </c>
      <c r="C43" s="28" t="s">
        <v>288</v>
      </c>
    </row>
    <row r="44">
      <c r="A44" s="26" t="s">
        <v>101</v>
      </c>
      <c r="B44" s="27" t="s">
        <v>102</v>
      </c>
      <c r="C44" s="28" t="s">
        <v>288</v>
      </c>
    </row>
    <row r="45">
      <c r="A45" s="26" t="s">
        <v>156</v>
      </c>
      <c r="B45" s="27" t="s">
        <v>157</v>
      </c>
      <c r="C45" s="28" t="s">
        <v>288</v>
      </c>
    </row>
    <row r="46">
      <c r="A46" s="26" t="s">
        <v>130</v>
      </c>
      <c r="B46" s="27" t="s">
        <v>131</v>
      </c>
      <c r="C46" s="28" t="s">
        <v>288</v>
      </c>
    </row>
    <row r="47">
      <c r="A47" s="26" t="s">
        <v>177</v>
      </c>
      <c r="B47" s="27" t="s">
        <v>178</v>
      </c>
      <c r="C47" s="28" t="s">
        <v>288</v>
      </c>
    </row>
    <row r="48">
      <c r="A48" s="26" t="s">
        <v>117</v>
      </c>
      <c r="B48" s="27" t="s">
        <v>118</v>
      </c>
      <c r="C48" s="28" t="s">
        <v>288</v>
      </c>
    </row>
    <row r="49">
      <c r="A49" s="26" t="s">
        <v>113</v>
      </c>
      <c r="B49" s="27" t="s">
        <v>114</v>
      </c>
      <c r="C49" s="28" t="s">
        <v>288</v>
      </c>
    </row>
    <row r="50">
      <c r="A50" s="26" t="s">
        <v>217</v>
      </c>
      <c r="B50" s="27" t="s">
        <v>218</v>
      </c>
      <c r="C50" s="28" t="s">
        <v>288</v>
      </c>
    </row>
    <row r="51">
      <c r="A51" s="26" t="s">
        <v>83</v>
      </c>
      <c r="B51" s="27" t="s">
        <v>84</v>
      </c>
      <c r="C51" s="28" t="s">
        <v>288</v>
      </c>
    </row>
    <row r="52">
      <c r="A52" s="26" t="s">
        <v>106</v>
      </c>
      <c r="B52" s="27" t="s">
        <v>107</v>
      </c>
      <c r="C52" s="28" t="s">
        <v>288</v>
      </c>
    </row>
    <row r="53">
      <c r="A53" s="26" t="s">
        <v>188</v>
      </c>
      <c r="B53" s="27" t="s">
        <v>189</v>
      </c>
      <c r="C53" s="28" t="s">
        <v>288</v>
      </c>
    </row>
    <row r="54">
      <c r="A54" s="26" t="s">
        <v>169</v>
      </c>
      <c r="B54" s="27" t="s">
        <v>170</v>
      </c>
      <c r="C54" s="28" t="s">
        <v>288</v>
      </c>
    </row>
    <row r="55">
      <c r="A55" s="26" t="s">
        <v>138</v>
      </c>
      <c r="B55" s="27" t="s">
        <v>139</v>
      </c>
      <c r="C55" s="28" t="s">
        <v>288</v>
      </c>
    </row>
    <row r="56">
      <c r="A56" s="26" t="s">
        <v>85</v>
      </c>
      <c r="B56" s="27" t="s">
        <v>86</v>
      </c>
      <c r="C56" s="28" t="s">
        <v>288</v>
      </c>
    </row>
    <row r="57">
      <c r="A57" s="26" t="s">
        <v>213</v>
      </c>
      <c r="B57" s="27" t="s">
        <v>214</v>
      </c>
      <c r="C57" s="28" t="s">
        <v>288</v>
      </c>
    </row>
    <row r="58">
      <c r="A58" s="26" t="s">
        <v>74</v>
      </c>
      <c r="B58" s="27" t="s">
        <v>75</v>
      </c>
      <c r="C58" s="28" t="s">
        <v>288</v>
      </c>
    </row>
    <row r="59">
      <c r="A59" s="26" t="s">
        <v>273</v>
      </c>
      <c r="B59" s="27" t="s">
        <v>274</v>
      </c>
      <c r="C59" s="28" t="s">
        <v>288</v>
      </c>
    </row>
    <row r="60">
      <c r="A60" s="26" t="s">
        <v>70</v>
      </c>
      <c r="B60" s="27" t="s">
        <v>71</v>
      </c>
      <c r="C60" s="28" t="s">
        <v>288</v>
      </c>
    </row>
    <row r="61">
      <c r="A61" s="26" t="s">
        <v>186</v>
      </c>
      <c r="B61" s="27" t="s">
        <v>187</v>
      </c>
      <c r="C61" s="28" t="s">
        <v>288</v>
      </c>
    </row>
    <row r="62">
      <c r="A62" s="26" t="s">
        <v>202</v>
      </c>
      <c r="B62" s="27" t="s">
        <v>203</v>
      </c>
      <c r="C62" s="28" t="s">
        <v>288</v>
      </c>
    </row>
    <row r="63">
      <c r="A63" s="26" t="s">
        <v>104</v>
      </c>
      <c r="B63" s="27" t="s">
        <v>105</v>
      </c>
      <c r="C63" s="28" t="s">
        <v>288</v>
      </c>
    </row>
    <row r="64">
      <c r="A64" s="26" t="s">
        <v>175</v>
      </c>
      <c r="B64" s="27" t="s">
        <v>176</v>
      </c>
      <c r="C64" s="28" t="s">
        <v>288</v>
      </c>
    </row>
    <row r="65">
      <c r="A65" s="26" t="s">
        <v>146</v>
      </c>
      <c r="B65" s="27" t="s">
        <v>147</v>
      </c>
      <c r="C65" s="28" t="s">
        <v>288</v>
      </c>
    </row>
    <row r="66">
      <c r="A66" s="26" t="s">
        <v>265</v>
      </c>
      <c r="B66" s="27" t="s">
        <v>266</v>
      </c>
      <c r="C66" s="28" t="s">
        <v>288</v>
      </c>
    </row>
    <row r="67">
      <c r="A67" s="26" t="s">
        <v>123</v>
      </c>
      <c r="B67" s="27" t="s">
        <v>124</v>
      </c>
      <c r="C67" s="28" t="s">
        <v>288</v>
      </c>
    </row>
    <row r="68">
      <c r="A68" s="26" t="s">
        <v>196</v>
      </c>
      <c r="B68" s="27" t="s">
        <v>197</v>
      </c>
      <c r="C68" s="28" t="s">
        <v>288</v>
      </c>
    </row>
    <row r="69">
      <c r="A69" s="26" t="s">
        <v>207</v>
      </c>
      <c r="B69" s="27" t="s">
        <v>208</v>
      </c>
      <c r="C69" s="28" t="s">
        <v>288</v>
      </c>
    </row>
    <row r="70">
      <c r="A70" s="26" t="s">
        <v>121</v>
      </c>
      <c r="B70" s="27" t="s">
        <v>122</v>
      </c>
      <c r="C70" s="28" t="s">
        <v>288</v>
      </c>
    </row>
    <row r="71">
      <c r="A71" s="26" t="s">
        <v>190</v>
      </c>
      <c r="B71" s="27" t="s">
        <v>191</v>
      </c>
      <c r="C71" s="28" t="s">
        <v>288</v>
      </c>
    </row>
    <row r="72">
      <c r="A72" s="26" t="s">
        <v>81</v>
      </c>
      <c r="B72" s="27" t="s">
        <v>82</v>
      </c>
      <c r="C72" s="28" t="s">
        <v>288</v>
      </c>
    </row>
    <row r="73">
      <c r="A73" s="26" t="s">
        <v>159</v>
      </c>
      <c r="B73" s="27" t="s">
        <v>160</v>
      </c>
      <c r="C73" s="28" t="s">
        <v>288</v>
      </c>
    </row>
    <row r="74">
      <c r="A74" s="26" t="s">
        <v>259</v>
      </c>
      <c r="B74" s="27" t="s">
        <v>260</v>
      </c>
      <c r="C74" s="28" t="s">
        <v>288</v>
      </c>
    </row>
    <row r="75">
      <c r="A75" s="26" t="s">
        <v>215</v>
      </c>
      <c r="B75" s="27" t="s">
        <v>216</v>
      </c>
      <c r="C75" s="28" t="s">
        <v>288</v>
      </c>
    </row>
    <row r="76">
      <c r="A76" s="26" t="s">
        <v>229</v>
      </c>
      <c r="B76" s="27" t="s">
        <v>230</v>
      </c>
      <c r="C76" s="28" t="s">
        <v>288</v>
      </c>
    </row>
    <row r="77">
      <c r="A77" s="26" t="s">
        <v>97</v>
      </c>
      <c r="B77" s="27" t="s">
        <v>98</v>
      </c>
      <c r="C77" s="28" t="s">
        <v>288</v>
      </c>
    </row>
    <row r="78">
      <c r="A78" s="26" t="s">
        <v>261</v>
      </c>
      <c r="B78" s="27" t="s">
        <v>262</v>
      </c>
      <c r="C78" s="28" t="s">
        <v>288</v>
      </c>
    </row>
    <row r="79">
      <c r="A79" s="26" t="s">
        <v>99</v>
      </c>
      <c r="B79" s="27" t="s">
        <v>100</v>
      </c>
      <c r="C79" s="28" t="s">
        <v>288</v>
      </c>
    </row>
    <row r="80">
      <c r="A80" s="26" t="s">
        <v>269</v>
      </c>
      <c r="B80" s="27" t="s">
        <v>270</v>
      </c>
      <c r="C80" s="28" t="s">
        <v>288</v>
      </c>
    </row>
    <row r="81">
      <c r="A81" s="26" t="s">
        <v>93</v>
      </c>
      <c r="B81" s="27" t="s">
        <v>94</v>
      </c>
      <c r="C81" s="28" t="s">
        <v>288</v>
      </c>
    </row>
    <row r="82">
      <c r="A82" s="26" t="s">
        <v>221</v>
      </c>
      <c r="B82" s="27" t="s">
        <v>222</v>
      </c>
      <c r="C82" s="28" t="s">
        <v>288</v>
      </c>
    </row>
    <row r="83">
      <c r="A83" s="26" t="s">
        <v>134</v>
      </c>
      <c r="B83" s="27" t="s">
        <v>135</v>
      </c>
      <c r="C83" s="28" t="s">
        <v>288</v>
      </c>
    </row>
    <row r="84">
      <c r="A84" s="26" t="s">
        <v>225</v>
      </c>
      <c r="B84" s="27" t="s">
        <v>226</v>
      </c>
      <c r="C84" s="28" t="s">
        <v>288</v>
      </c>
    </row>
    <row r="85">
      <c r="A85" s="26" t="s">
        <v>154</v>
      </c>
      <c r="B85" s="27" t="s">
        <v>155</v>
      </c>
      <c r="C85" s="28" t="s">
        <v>288</v>
      </c>
    </row>
    <row r="86">
      <c r="A86" s="26" t="s">
        <v>185</v>
      </c>
      <c r="B86" s="27" t="s">
        <v>289</v>
      </c>
      <c r="C86" s="28" t="s">
        <v>288</v>
      </c>
    </row>
    <row r="87">
      <c r="A87" s="26" t="s">
        <v>204</v>
      </c>
      <c r="B87" s="27" t="s">
        <v>205</v>
      </c>
      <c r="C87" s="28" t="s">
        <v>288</v>
      </c>
    </row>
    <row r="88">
      <c r="A88" s="26" t="s">
        <v>249</v>
      </c>
      <c r="B88" s="27" t="s">
        <v>250</v>
      </c>
      <c r="C88" s="28" t="s">
        <v>288</v>
      </c>
    </row>
    <row r="89">
      <c r="A89" s="26" t="s">
        <v>253</v>
      </c>
      <c r="B89" s="27" t="s">
        <v>254</v>
      </c>
      <c r="C89" s="28" t="s">
        <v>288</v>
      </c>
    </row>
    <row r="90">
      <c r="A90" s="26" t="s">
        <v>243</v>
      </c>
      <c r="B90" s="27" t="s">
        <v>244</v>
      </c>
      <c r="C90" s="28" t="s">
        <v>288</v>
      </c>
    </row>
    <row r="91">
      <c r="A91" s="26" t="s">
        <v>161</v>
      </c>
      <c r="B91" s="27" t="s">
        <v>162</v>
      </c>
      <c r="C91" s="28" t="s">
        <v>288</v>
      </c>
    </row>
    <row r="92">
      <c r="A92" s="26" t="s">
        <v>227</v>
      </c>
      <c r="B92" s="27" t="s">
        <v>228</v>
      </c>
      <c r="C92" s="28" t="s">
        <v>288</v>
      </c>
    </row>
    <row r="93">
      <c r="A93" s="26" t="s">
        <v>211</v>
      </c>
      <c r="B93" s="27" t="s">
        <v>212</v>
      </c>
      <c r="C93" s="28" t="s">
        <v>288</v>
      </c>
    </row>
    <row r="94">
      <c r="A94" s="26" t="s">
        <v>179</v>
      </c>
      <c r="B94" s="27" t="s">
        <v>180</v>
      </c>
      <c r="C94" s="28" t="s">
        <v>288</v>
      </c>
    </row>
    <row r="95">
      <c r="A95" s="26" t="s">
        <v>192</v>
      </c>
      <c r="B95" s="27" t="s">
        <v>193</v>
      </c>
      <c r="C95" s="28" t="s">
        <v>288</v>
      </c>
    </row>
    <row r="96">
      <c r="A96" s="26" t="s">
        <v>257</v>
      </c>
      <c r="B96" s="27" t="s">
        <v>258</v>
      </c>
      <c r="C96" s="28" t="s">
        <v>288</v>
      </c>
    </row>
    <row r="97">
      <c r="A97" s="26" t="s">
        <v>87</v>
      </c>
      <c r="B97" s="27" t="s">
        <v>88</v>
      </c>
      <c r="C97" s="28" t="s">
        <v>288</v>
      </c>
    </row>
    <row r="98">
      <c r="A98" s="26" t="s">
        <v>241</v>
      </c>
      <c r="B98" s="27" t="s">
        <v>242</v>
      </c>
      <c r="C98" s="28" t="s">
        <v>288</v>
      </c>
    </row>
    <row r="99">
      <c r="A99" s="26" t="s">
        <v>233</v>
      </c>
      <c r="B99" s="27" t="s">
        <v>234</v>
      </c>
      <c r="C99" s="28" t="s">
        <v>288</v>
      </c>
    </row>
    <row r="100">
      <c r="A100" s="26" t="s">
        <v>194</v>
      </c>
      <c r="B100" s="27" t="s">
        <v>195</v>
      </c>
      <c r="C100" s="28" t="s">
        <v>288</v>
      </c>
    </row>
    <row r="101">
      <c r="A101" s="26" t="s">
        <v>140</v>
      </c>
      <c r="B101" s="27" t="s">
        <v>141</v>
      </c>
      <c r="C101" s="28" t="s">
        <v>288</v>
      </c>
    </row>
  </sheetData>
  <dataValidations>
    <dataValidation type="list" allowBlank="1" showErrorMessage="1" sqref="C2:C101">
      <formula1>"TO DO,TRUE,FALSE,SKIP"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19.63"/>
    <col customWidth="1" min="3" max="4" width="19.75"/>
  </cols>
  <sheetData>
    <row r="1">
      <c r="A1" s="23" t="s">
        <v>66</v>
      </c>
      <c r="B1" s="24" t="s">
        <v>67</v>
      </c>
      <c r="C1" s="25" t="s">
        <v>68</v>
      </c>
      <c r="D1" s="18" t="s">
        <v>69</v>
      </c>
    </row>
    <row r="2">
      <c r="A2" s="26" t="s">
        <v>138</v>
      </c>
      <c r="B2" s="27" t="s">
        <v>139</v>
      </c>
      <c r="C2" s="28" t="b">
        <v>0</v>
      </c>
    </row>
    <row r="3">
      <c r="A3" s="26" t="s">
        <v>132</v>
      </c>
      <c r="B3" s="27" t="s">
        <v>133</v>
      </c>
      <c r="C3" s="28" t="b">
        <v>1</v>
      </c>
    </row>
    <row r="4">
      <c r="A4" s="26" t="s">
        <v>239</v>
      </c>
      <c r="B4" s="27" t="s">
        <v>240</v>
      </c>
      <c r="C4" s="28" t="b">
        <v>1</v>
      </c>
    </row>
    <row r="5">
      <c r="A5" s="26" t="s">
        <v>181</v>
      </c>
      <c r="B5" s="27" t="s">
        <v>182</v>
      </c>
      <c r="C5" s="28" t="b">
        <v>0</v>
      </c>
    </row>
    <row r="6">
      <c r="A6" s="26" t="s">
        <v>245</v>
      </c>
      <c r="B6" s="27" t="s">
        <v>246</v>
      </c>
      <c r="C6" s="28" t="b">
        <v>0</v>
      </c>
    </row>
    <row r="7">
      <c r="A7" s="26" t="s">
        <v>93</v>
      </c>
      <c r="B7" s="27" t="s">
        <v>94</v>
      </c>
      <c r="C7" s="28" t="b">
        <v>1</v>
      </c>
    </row>
    <row r="8">
      <c r="A8" s="26" t="s">
        <v>154</v>
      </c>
      <c r="B8" s="27" t="s">
        <v>155</v>
      </c>
      <c r="C8" s="28" t="b">
        <v>0</v>
      </c>
      <c r="D8" s="5" t="s">
        <v>290</v>
      </c>
    </row>
    <row r="9">
      <c r="A9" s="26" t="s">
        <v>163</v>
      </c>
      <c r="B9" s="27" t="s">
        <v>164</v>
      </c>
      <c r="C9" s="28" t="b">
        <v>0</v>
      </c>
    </row>
    <row r="10">
      <c r="A10" s="26" t="s">
        <v>211</v>
      </c>
      <c r="B10" s="27" t="s">
        <v>212</v>
      </c>
      <c r="C10" s="28" t="b">
        <v>0</v>
      </c>
    </row>
    <row r="11">
      <c r="A11" s="26" t="s">
        <v>130</v>
      </c>
      <c r="B11" s="27" t="s">
        <v>131</v>
      </c>
      <c r="C11" s="28" t="b">
        <v>0</v>
      </c>
    </row>
    <row r="12">
      <c r="A12" s="26" t="s">
        <v>225</v>
      </c>
      <c r="B12" s="27" t="s">
        <v>226</v>
      </c>
      <c r="C12" s="28" t="b">
        <v>1</v>
      </c>
      <c r="D12" s="5" t="s">
        <v>291</v>
      </c>
    </row>
    <row r="13">
      <c r="A13" s="26" t="s">
        <v>79</v>
      </c>
      <c r="B13" s="27" t="s">
        <v>80</v>
      </c>
      <c r="C13" s="28" t="b">
        <v>0</v>
      </c>
    </row>
    <row r="14">
      <c r="A14" s="26" t="s">
        <v>196</v>
      </c>
      <c r="B14" s="27" t="s">
        <v>197</v>
      </c>
      <c r="C14" s="28" t="b">
        <v>1</v>
      </c>
    </row>
    <row r="15">
      <c r="A15" s="26" t="s">
        <v>265</v>
      </c>
      <c r="B15" s="27" t="s">
        <v>266</v>
      </c>
      <c r="C15" s="28" t="b">
        <v>1</v>
      </c>
    </row>
    <row r="16">
      <c r="A16" s="26" t="s">
        <v>177</v>
      </c>
      <c r="B16" s="27" t="s">
        <v>178</v>
      </c>
      <c r="C16" s="28" t="b">
        <v>1</v>
      </c>
    </row>
    <row r="17">
      <c r="A17" s="26" t="s">
        <v>213</v>
      </c>
      <c r="B17" s="27" t="s">
        <v>214</v>
      </c>
      <c r="C17" s="28" t="b">
        <v>0</v>
      </c>
    </row>
    <row r="18">
      <c r="A18" s="26" t="s">
        <v>231</v>
      </c>
      <c r="B18" s="27" t="s">
        <v>232</v>
      </c>
      <c r="C18" s="28" t="b">
        <v>1</v>
      </c>
      <c r="D18" s="5" t="s">
        <v>292</v>
      </c>
    </row>
    <row r="19">
      <c r="A19" s="26" t="s">
        <v>148</v>
      </c>
      <c r="B19" s="27" t="s">
        <v>149</v>
      </c>
      <c r="C19" s="28" t="b">
        <v>0</v>
      </c>
      <c r="D19" s="5" t="s">
        <v>293</v>
      </c>
    </row>
    <row r="20">
      <c r="A20" s="26" t="s">
        <v>142</v>
      </c>
      <c r="B20" s="27" t="s">
        <v>143</v>
      </c>
      <c r="C20" s="28" t="b">
        <v>1</v>
      </c>
    </row>
    <row r="21">
      <c r="A21" s="26" t="s">
        <v>99</v>
      </c>
      <c r="B21" s="27" t="s">
        <v>100</v>
      </c>
      <c r="C21" s="28" t="b">
        <v>1</v>
      </c>
    </row>
    <row r="22">
      <c r="A22" s="26" t="s">
        <v>247</v>
      </c>
      <c r="B22" s="27" t="s">
        <v>248</v>
      </c>
      <c r="C22" s="28" t="b">
        <v>1</v>
      </c>
    </row>
    <row r="23">
      <c r="A23" s="26" t="s">
        <v>261</v>
      </c>
      <c r="B23" s="27" t="s">
        <v>262</v>
      </c>
      <c r="C23" s="28" t="b">
        <v>1</v>
      </c>
    </row>
    <row r="24">
      <c r="A24" s="26" t="s">
        <v>70</v>
      </c>
      <c r="B24" s="27" t="s">
        <v>71</v>
      </c>
      <c r="C24" s="28" t="b">
        <v>1</v>
      </c>
    </row>
    <row r="25">
      <c r="A25" s="26" t="s">
        <v>97</v>
      </c>
      <c r="B25" s="27" t="s">
        <v>98</v>
      </c>
      <c r="C25" s="28" t="b">
        <v>0</v>
      </c>
    </row>
    <row r="26">
      <c r="A26" s="26" t="s">
        <v>150</v>
      </c>
      <c r="B26" s="29" t="s">
        <v>151</v>
      </c>
      <c r="C26" s="28" t="b">
        <v>1</v>
      </c>
      <c r="D26" s="5" t="s">
        <v>294</v>
      </c>
    </row>
    <row r="27">
      <c r="A27" s="26" t="s">
        <v>188</v>
      </c>
      <c r="B27" s="27" t="s">
        <v>189</v>
      </c>
      <c r="C27" s="28" t="b">
        <v>1</v>
      </c>
    </row>
    <row r="28">
      <c r="A28" s="26" t="s">
        <v>229</v>
      </c>
      <c r="B28" s="27" t="s">
        <v>230</v>
      </c>
      <c r="C28" s="28" t="b">
        <v>0</v>
      </c>
    </row>
    <row r="29">
      <c r="A29" s="26" t="s">
        <v>183</v>
      </c>
      <c r="B29" s="27" t="s">
        <v>184</v>
      </c>
      <c r="C29" s="28" t="b">
        <v>1</v>
      </c>
    </row>
    <row r="30">
      <c r="A30" s="26" t="s">
        <v>109</v>
      </c>
      <c r="B30" s="27" t="s">
        <v>110</v>
      </c>
      <c r="C30" s="28" t="b">
        <v>1</v>
      </c>
    </row>
    <row r="31">
      <c r="A31" s="26" t="s">
        <v>233</v>
      </c>
      <c r="B31" s="27" t="s">
        <v>234</v>
      </c>
      <c r="C31" s="28" t="b">
        <v>0</v>
      </c>
    </row>
    <row r="32">
      <c r="A32" s="26" t="s">
        <v>251</v>
      </c>
      <c r="B32" s="27" t="s">
        <v>252</v>
      </c>
      <c r="C32" s="28" t="b">
        <v>0</v>
      </c>
    </row>
    <row r="33">
      <c r="A33" s="26" t="s">
        <v>267</v>
      </c>
      <c r="B33" s="27" t="s">
        <v>268</v>
      </c>
      <c r="C33" s="28" t="b">
        <v>0</v>
      </c>
    </row>
    <row r="34">
      <c r="A34" s="26" t="s">
        <v>152</v>
      </c>
      <c r="B34" s="27" t="s">
        <v>153</v>
      </c>
      <c r="C34" s="28" t="b">
        <v>0</v>
      </c>
    </row>
    <row r="35">
      <c r="A35" s="26" t="s">
        <v>121</v>
      </c>
      <c r="B35" s="27" t="s">
        <v>122</v>
      </c>
      <c r="C35" s="28" t="b">
        <v>0</v>
      </c>
    </row>
    <row r="36">
      <c r="A36" s="26" t="s">
        <v>255</v>
      </c>
      <c r="B36" s="30" t="s">
        <v>256</v>
      </c>
      <c r="C36" s="28" t="b">
        <v>0</v>
      </c>
      <c r="D36" s="5" t="s">
        <v>295</v>
      </c>
    </row>
    <row r="37">
      <c r="A37" s="26" t="s">
        <v>194</v>
      </c>
      <c r="B37" s="27" t="s">
        <v>195</v>
      </c>
      <c r="C37" s="28" t="b">
        <v>1</v>
      </c>
      <c r="D37" s="5" t="s">
        <v>296</v>
      </c>
    </row>
    <row r="38">
      <c r="A38" s="26" t="s">
        <v>167</v>
      </c>
      <c r="B38" s="27" t="s">
        <v>168</v>
      </c>
      <c r="C38" s="28" t="b">
        <v>1</v>
      </c>
    </row>
    <row r="39">
      <c r="A39" s="26" t="s">
        <v>271</v>
      </c>
      <c r="B39" s="27" t="s">
        <v>272</v>
      </c>
      <c r="C39" s="28" t="b">
        <v>0</v>
      </c>
    </row>
    <row r="40">
      <c r="A40" s="26" t="s">
        <v>134</v>
      </c>
      <c r="B40" s="27" t="s">
        <v>135</v>
      </c>
      <c r="C40" s="28" t="b">
        <v>0</v>
      </c>
    </row>
    <row r="41">
      <c r="A41" s="26" t="s">
        <v>159</v>
      </c>
      <c r="B41" s="27" t="s">
        <v>160</v>
      </c>
      <c r="C41" s="28" t="b">
        <v>1</v>
      </c>
    </row>
    <row r="42">
      <c r="A42" s="26" t="s">
        <v>74</v>
      </c>
      <c r="B42" s="30" t="s">
        <v>75</v>
      </c>
      <c r="C42" s="28" t="b">
        <v>0</v>
      </c>
    </row>
    <row r="43">
      <c r="A43" s="26" t="s">
        <v>171</v>
      </c>
      <c r="B43" s="27" t="s">
        <v>172</v>
      </c>
      <c r="C43" s="28" t="b">
        <v>0</v>
      </c>
    </row>
    <row r="44">
      <c r="A44" s="26" t="s">
        <v>140</v>
      </c>
      <c r="B44" s="27" t="s">
        <v>141</v>
      </c>
      <c r="C44" s="28" t="b">
        <v>1</v>
      </c>
    </row>
    <row r="45">
      <c r="A45" s="26" t="s">
        <v>146</v>
      </c>
      <c r="B45" s="27" t="s">
        <v>147</v>
      </c>
      <c r="C45" s="28" t="b">
        <v>0</v>
      </c>
    </row>
    <row r="46">
      <c r="A46" s="26" t="s">
        <v>175</v>
      </c>
      <c r="B46" s="31" t="s">
        <v>176</v>
      </c>
      <c r="C46" s="28" t="b">
        <v>0</v>
      </c>
      <c r="D46" s="5" t="s">
        <v>297</v>
      </c>
    </row>
    <row r="47">
      <c r="A47" s="26" t="s">
        <v>221</v>
      </c>
      <c r="B47" s="27" t="s">
        <v>222</v>
      </c>
      <c r="C47" s="28" t="b">
        <v>0</v>
      </c>
    </row>
    <row r="48">
      <c r="A48" s="26" t="s">
        <v>186</v>
      </c>
      <c r="B48" s="27" t="s">
        <v>187</v>
      </c>
      <c r="C48" s="28" t="b">
        <v>0</v>
      </c>
    </row>
    <row r="49">
      <c r="A49" s="26" t="s">
        <v>173</v>
      </c>
      <c r="B49" s="32" t="s">
        <v>174</v>
      </c>
      <c r="C49" s="28" t="b">
        <v>1</v>
      </c>
      <c r="D49" s="5" t="s">
        <v>298</v>
      </c>
    </row>
    <row r="50">
      <c r="A50" s="26" t="s">
        <v>200</v>
      </c>
      <c r="B50" s="27" t="s">
        <v>201</v>
      </c>
      <c r="C50" s="28" t="b">
        <v>1</v>
      </c>
    </row>
    <row r="51">
      <c r="A51" s="26" t="s">
        <v>106</v>
      </c>
      <c r="B51" s="27" t="s">
        <v>107</v>
      </c>
      <c r="C51" s="28" t="b">
        <v>0</v>
      </c>
    </row>
    <row r="52">
      <c r="A52" s="26" t="s">
        <v>273</v>
      </c>
      <c r="B52" s="27" t="s">
        <v>274</v>
      </c>
      <c r="C52" s="28" t="b">
        <v>0</v>
      </c>
    </row>
    <row r="53">
      <c r="A53" s="26" t="s">
        <v>257</v>
      </c>
      <c r="B53" s="27" t="s">
        <v>258</v>
      </c>
      <c r="C53" s="28" t="b">
        <v>1</v>
      </c>
    </row>
    <row r="54">
      <c r="A54" s="26" t="s">
        <v>101</v>
      </c>
      <c r="B54" s="27" t="s">
        <v>102</v>
      </c>
      <c r="C54" s="28" t="b">
        <v>1</v>
      </c>
    </row>
    <row r="55">
      <c r="A55" s="26" t="s">
        <v>126</v>
      </c>
      <c r="B55" s="27" t="s">
        <v>127</v>
      </c>
      <c r="C55" s="28" t="b">
        <v>0</v>
      </c>
    </row>
    <row r="56">
      <c r="A56" s="26" t="s">
        <v>204</v>
      </c>
      <c r="B56" s="27" t="s">
        <v>205</v>
      </c>
      <c r="C56" s="28" t="b">
        <v>0</v>
      </c>
    </row>
    <row r="57">
      <c r="A57" s="26" t="s">
        <v>263</v>
      </c>
      <c r="B57" s="27" t="s">
        <v>264</v>
      </c>
      <c r="C57" s="28" t="b">
        <v>1</v>
      </c>
    </row>
    <row r="58">
      <c r="A58" s="26" t="s">
        <v>227</v>
      </c>
      <c r="B58" s="27" t="s">
        <v>228</v>
      </c>
      <c r="C58" s="28" t="b">
        <v>1</v>
      </c>
    </row>
    <row r="59">
      <c r="A59" s="26" t="s">
        <v>144</v>
      </c>
      <c r="B59" s="27" t="s">
        <v>145</v>
      </c>
      <c r="C59" s="28" t="b">
        <v>1</v>
      </c>
    </row>
    <row r="60">
      <c r="A60" s="26" t="s">
        <v>91</v>
      </c>
      <c r="B60" s="27" t="s">
        <v>92</v>
      </c>
      <c r="C60" s="28" t="b">
        <v>1</v>
      </c>
    </row>
    <row r="61">
      <c r="A61" s="26" t="s">
        <v>161</v>
      </c>
      <c r="B61" s="27" t="s">
        <v>162</v>
      </c>
      <c r="C61" s="28" t="b">
        <v>1</v>
      </c>
    </row>
    <row r="62">
      <c r="A62" s="26" t="s">
        <v>237</v>
      </c>
      <c r="B62" s="27" t="s">
        <v>238</v>
      </c>
      <c r="C62" s="28" t="b">
        <v>1</v>
      </c>
    </row>
    <row r="63">
      <c r="A63" s="26" t="s">
        <v>185</v>
      </c>
      <c r="B63" s="27" t="s">
        <v>289</v>
      </c>
      <c r="C63" s="28" t="b">
        <v>0</v>
      </c>
    </row>
    <row r="64">
      <c r="A64" s="26" t="s">
        <v>87</v>
      </c>
      <c r="B64" s="32" t="s">
        <v>88</v>
      </c>
      <c r="C64" s="28" t="b">
        <v>1</v>
      </c>
      <c r="D64" s="5" t="s">
        <v>299</v>
      </c>
    </row>
    <row r="65">
      <c r="A65" s="26" t="s">
        <v>117</v>
      </c>
      <c r="B65" s="27" t="s">
        <v>118</v>
      </c>
      <c r="C65" s="28" t="b">
        <v>0</v>
      </c>
    </row>
    <row r="66">
      <c r="A66" s="26" t="s">
        <v>235</v>
      </c>
      <c r="B66" s="27" t="s">
        <v>236</v>
      </c>
      <c r="C66" s="28" t="b">
        <v>0</v>
      </c>
    </row>
    <row r="67">
      <c r="A67" s="26" t="s">
        <v>119</v>
      </c>
      <c r="B67" s="27" t="s">
        <v>120</v>
      </c>
      <c r="C67" s="28" t="b">
        <v>1</v>
      </c>
    </row>
    <row r="68">
      <c r="A68" s="26" t="s">
        <v>89</v>
      </c>
      <c r="B68" s="27" t="s">
        <v>90</v>
      </c>
      <c r="C68" s="28" t="b">
        <v>0</v>
      </c>
    </row>
    <row r="69">
      <c r="A69" s="26" t="s">
        <v>241</v>
      </c>
      <c r="B69" s="27" t="s">
        <v>242</v>
      </c>
      <c r="C69" s="28" t="b">
        <v>0</v>
      </c>
    </row>
    <row r="70">
      <c r="A70" s="26" t="s">
        <v>269</v>
      </c>
      <c r="B70" s="27" t="s">
        <v>270</v>
      </c>
      <c r="C70" s="28" t="b">
        <v>0</v>
      </c>
    </row>
    <row r="71">
      <c r="A71" s="26" t="s">
        <v>72</v>
      </c>
      <c r="B71" s="27" t="s">
        <v>73</v>
      </c>
      <c r="C71" s="28" t="b">
        <v>0</v>
      </c>
    </row>
    <row r="72">
      <c r="A72" s="26" t="s">
        <v>249</v>
      </c>
      <c r="B72" s="27" t="s">
        <v>250</v>
      </c>
      <c r="C72" s="28" t="b">
        <v>0</v>
      </c>
    </row>
    <row r="73">
      <c r="A73" s="26" t="s">
        <v>83</v>
      </c>
      <c r="B73" s="27" t="s">
        <v>84</v>
      </c>
      <c r="C73" s="28" t="b">
        <v>1</v>
      </c>
    </row>
    <row r="74">
      <c r="A74" s="26" t="s">
        <v>111</v>
      </c>
      <c r="B74" s="27" t="s">
        <v>112</v>
      </c>
      <c r="C74" s="28" t="b">
        <v>0</v>
      </c>
    </row>
    <row r="75">
      <c r="A75" s="26" t="s">
        <v>179</v>
      </c>
      <c r="B75" s="32" t="s">
        <v>180</v>
      </c>
      <c r="C75" s="28" t="b">
        <v>1</v>
      </c>
      <c r="D75" s="5" t="s">
        <v>300</v>
      </c>
    </row>
    <row r="76">
      <c r="A76" s="26" t="s">
        <v>243</v>
      </c>
      <c r="B76" s="27" t="s">
        <v>244</v>
      </c>
      <c r="C76" s="28" t="b">
        <v>0</v>
      </c>
      <c r="D76" s="5" t="s">
        <v>301</v>
      </c>
    </row>
    <row r="77">
      <c r="A77" s="26" t="s">
        <v>136</v>
      </c>
      <c r="B77" s="27" t="s">
        <v>137</v>
      </c>
      <c r="C77" s="28" t="b">
        <v>0</v>
      </c>
    </row>
    <row r="78">
      <c r="A78" s="26" t="s">
        <v>209</v>
      </c>
      <c r="B78" s="31" t="s">
        <v>210</v>
      </c>
      <c r="C78" s="28" t="b">
        <v>0</v>
      </c>
      <c r="D78" s="5" t="s">
        <v>302</v>
      </c>
    </row>
    <row r="79">
      <c r="A79" s="26" t="s">
        <v>217</v>
      </c>
      <c r="B79" s="27" t="s">
        <v>218</v>
      </c>
      <c r="C79" s="28" t="b">
        <v>1</v>
      </c>
    </row>
    <row r="80">
      <c r="A80" s="26" t="s">
        <v>253</v>
      </c>
      <c r="B80" s="27" t="s">
        <v>254</v>
      </c>
      <c r="C80" s="28" t="b">
        <v>0</v>
      </c>
    </row>
    <row r="81">
      <c r="A81" s="26" t="s">
        <v>202</v>
      </c>
      <c r="B81" s="27" t="s">
        <v>203</v>
      </c>
      <c r="C81" s="28" t="b">
        <v>0</v>
      </c>
    </row>
    <row r="82">
      <c r="A82" s="26" t="s">
        <v>123</v>
      </c>
      <c r="B82" s="27" t="s">
        <v>124</v>
      </c>
      <c r="C82" s="28" t="b">
        <v>1</v>
      </c>
    </row>
    <row r="83">
      <c r="A83" s="26" t="s">
        <v>190</v>
      </c>
      <c r="B83" s="27" t="s">
        <v>191</v>
      </c>
      <c r="C83" s="28" t="b">
        <v>0</v>
      </c>
    </row>
    <row r="84">
      <c r="A84" s="26" t="s">
        <v>259</v>
      </c>
      <c r="B84" s="27" t="s">
        <v>260</v>
      </c>
      <c r="C84" s="28" t="b">
        <v>1</v>
      </c>
    </row>
    <row r="85">
      <c r="A85" s="26" t="s">
        <v>104</v>
      </c>
      <c r="B85" s="27" t="s">
        <v>105</v>
      </c>
      <c r="C85" s="28" t="b">
        <v>1</v>
      </c>
    </row>
    <row r="86">
      <c r="A86" s="26" t="s">
        <v>113</v>
      </c>
      <c r="B86" s="27" t="s">
        <v>114</v>
      </c>
      <c r="C86" s="28" t="b">
        <v>1</v>
      </c>
    </row>
    <row r="87">
      <c r="A87" s="26" t="s">
        <v>76</v>
      </c>
      <c r="B87" s="27" t="s">
        <v>77</v>
      </c>
      <c r="C87" s="28" t="b">
        <v>1</v>
      </c>
    </row>
    <row r="88">
      <c r="A88" s="26" t="s">
        <v>223</v>
      </c>
      <c r="B88" s="27" t="s">
        <v>224</v>
      </c>
      <c r="C88" s="28" t="b">
        <v>0</v>
      </c>
    </row>
    <row r="89">
      <c r="A89" s="26" t="s">
        <v>219</v>
      </c>
      <c r="B89" s="27" t="s">
        <v>220</v>
      </c>
      <c r="C89" s="28" t="b">
        <v>1</v>
      </c>
      <c r="D89" s="5" t="s">
        <v>303</v>
      </c>
    </row>
    <row r="90">
      <c r="A90" s="26" t="s">
        <v>207</v>
      </c>
      <c r="B90" s="27" t="s">
        <v>208</v>
      </c>
      <c r="C90" s="28" t="b">
        <v>0</v>
      </c>
    </row>
    <row r="91">
      <c r="A91" s="26" t="s">
        <v>85</v>
      </c>
      <c r="B91" s="27" t="s">
        <v>86</v>
      </c>
      <c r="C91" s="28" t="b">
        <v>0</v>
      </c>
    </row>
    <row r="92">
      <c r="A92" s="26" t="s">
        <v>192</v>
      </c>
      <c r="B92" s="27" t="s">
        <v>193</v>
      </c>
      <c r="C92" s="28" t="b">
        <v>0</v>
      </c>
    </row>
    <row r="93">
      <c r="A93" s="26" t="s">
        <v>169</v>
      </c>
      <c r="B93" s="27" t="s">
        <v>170</v>
      </c>
      <c r="C93" s="28" t="b">
        <v>0</v>
      </c>
    </row>
    <row r="94">
      <c r="A94" s="26" t="s">
        <v>215</v>
      </c>
      <c r="B94" s="27" t="s">
        <v>216</v>
      </c>
      <c r="C94" s="28" t="b">
        <v>1</v>
      </c>
    </row>
    <row r="95">
      <c r="A95" s="26" t="s">
        <v>95</v>
      </c>
      <c r="B95" s="27" t="s">
        <v>96</v>
      </c>
      <c r="C95" s="28" t="b">
        <v>1</v>
      </c>
    </row>
    <row r="96">
      <c r="A96" s="26" t="s">
        <v>115</v>
      </c>
      <c r="B96" s="27" t="s">
        <v>116</v>
      </c>
      <c r="C96" s="28" t="b">
        <v>1</v>
      </c>
    </row>
    <row r="97">
      <c r="A97" s="26" t="s">
        <v>81</v>
      </c>
      <c r="B97" s="27" t="s">
        <v>82</v>
      </c>
      <c r="C97" s="28" t="b">
        <v>1</v>
      </c>
    </row>
    <row r="98">
      <c r="A98" s="26" t="s">
        <v>165</v>
      </c>
      <c r="B98" s="27" t="s">
        <v>166</v>
      </c>
      <c r="C98" s="28" t="b">
        <v>0</v>
      </c>
    </row>
    <row r="99">
      <c r="A99" s="26" t="s">
        <v>156</v>
      </c>
      <c r="B99" s="27" t="s">
        <v>157</v>
      </c>
      <c r="C99" s="28" t="b">
        <v>1</v>
      </c>
    </row>
    <row r="100">
      <c r="A100" s="26" t="s">
        <v>198</v>
      </c>
      <c r="B100" s="27" t="s">
        <v>199</v>
      </c>
      <c r="C100" s="28" t="b">
        <v>1</v>
      </c>
    </row>
    <row r="101">
      <c r="A101" s="26" t="s">
        <v>128</v>
      </c>
      <c r="B101" s="27" t="s">
        <v>129</v>
      </c>
      <c r="C101" s="28" t="b">
        <v>1</v>
      </c>
    </row>
  </sheetData>
  <dataValidations>
    <dataValidation type="list" allowBlank="1" showErrorMessage="1" sqref="C2:C101">
      <formula1>"TO DO,TRUE,FALSE,SKIP"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2.63"/>
    <col customWidth="1" min="3" max="3" width="19.75"/>
    <col customWidth="1" min="4" max="4" width="60.63"/>
  </cols>
  <sheetData>
    <row r="1">
      <c r="A1" s="23" t="s">
        <v>66</v>
      </c>
      <c r="B1" s="24" t="s">
        <v>67</v>
      </c>
      <c r="C1" s="25" t="s">
        <v>68</v>
      </c>
      <c r="D1" s="18" t="s">
        <v>69</v>
      </c>
    </row>
    <row r="2">
      <c r="A2" s="26" t="s">
        <v>231</v>
      </c>
      <c r="B2" s="27" t="s">
        <v>232</v>
      </c>
      <c r="C2" s="28" t="b">
        <v>1</v>
      </c>
    </row>
    <row r="3">
      <c r="A3" s="26" t="s">
        <v>217</v>
      </c>
      <c r="B3" s="27" t="s">
        <v>218</v>
      </c>
      <c r="C3" s="28" t="b">
        <v>1</v>
      </c>
    </row>
    <row r="4">
      <c r="A4" s="26" t="s">
        <v>179</v>
      </c>
      <c r="B4" s="27" t="s">
        <v>180</v>
      </c>
      <c r="C4" s="28" t="b">
        <v>1</v>
      </c>
    </row>
    <row r="5">
      <c r="A5" s="26" t="s">
        <v>209</v>
      </c>
      <c r="B5" s="27" t="s">
        <v>210</v>
      </c>
      <c r="C5" s="28" t="b">
        <v>1</v>
      </c>
    </row>
    <row r="6">
      <c r="A6" s="26" t="s">
        <v>81</v>
      </c>
      <c r="B6" s="27" t="s">
        <v>82</v>
      </c>
      <c r="C6" s="28" t="b">
        <v>1</v>
      </c>
    </row>
    <row r="7">
      <c r="A7" s="26" t="s">
        <v>171</v>
      </c>
      <c r="B7" s="27" t="s">
        <v>172</v>
      </c>
      <c r="C7" s="28" t="b">
        <v>0</v>
      </c>
    </row>
    <row r="8">
      <c r="A8" s="26" t="s">
        <v>181</v>
      </c>
      <c r="B8" s="27" t="s">
        <v>182</v>
      </c>
      <c r="C8" s="28" t="b">
        <v>0</v>
      </c>
    </row>
    <row r="9">
      <c r="A9" s="26" t="s">
        <v>97</v>
      </c>
      <c r="B9" s="27" t="s">
        <v>98</v>
      </c>
      <c r="C9" s="28" t="b">
        <v>0</v>
      </c>
    </row>
    <row r="10">
      <c r="A10" s="26" t="s">
        <v>215</v>
      </c>
      <c r="B10" s="27" t="s">
        <v>216</v>
      </c>
      <c r="C10" s="28" t="b">
        <v>1</v>
      </c>
    </row>
    <row r="11">
      <c r="A11" s="26" t="s">
        <v>188</v>
      </c>
      <c r="B11" s="27" t="s">
        <v>189</v>
      </c>
      <c r="C11" s="28" t="b">
        <v>1</v>
      </c>
    </row>
    <row r="12">
      <c r="A12" s="26" t="s">
        <v>70</v>
      </c>
      <c r="B12" s="27" t="s">
        <v>71</v>
      </c>
      <c r="C12" s="28" t="b">
        <v>1</v>
      </c>
    </row>
    <row r="13">
      <c r="A13" s="26" t="s">
        <v>269</v>
      </c>
      <c r="B13" s="27" t="s">
        <v>270</v>
      </c>
      <c r="C13" s="28" t="b">
        <v>0</v>
      </c>
    </row>
    <row r="14">
      <c r="A14" s="26" t="s">
        <v>235</v>
      </c>
      <c r="B14" s="27" t="s">
        <v>236</v>
      </c>
      <c r="C14" s="28" t="b">
        <v>0</v>
      </c>
    </row>
    <row r="15">
      <c r="A15" s="26" t="s">
        <v>253</v>
      </c>
      <c r="B15" s="27" t="s">
        <v>254</v>
      </c>
      <c r="C15" s="28" t="b">
        <v>0</v>
      </c>
    </row>
    <row r="16">
      <c r="A16" s="26" t="s">
        <v>229</v>
      </c>
      <c r="B16" s="27" t="s">
        <v>230</v>
      </c>
      <c r="C16" s="28" t="b">
        <v>0</v>
      </c>
    </row>
    <row r="17">
      <c r="A17" s="26" t="s">
        <v>200</v>
      </c>
      <c r="B17" s="27" t="s">
        <v>201</v>
      </c>
      <c r="C17" s="28" t="b">
        <v>1</v>
      </c>
    </row>
    <row r="18">
      <c r="A18" s="26" t="s">
        <v>169</v>
      </c>
      <c r="B18" s="27" t="s">
        <v>170</v>
      </c>
      <c r="C18" s="28" t="b">
        <v>0</v>
      </c>
      <c r="D18" s="5" t="s">
        <v>304</v>
      </c>
    </row>
    <row r="19">
      <c r="A19" s="26" t="s">
        <v>121</v>
      </c>
      <c r="B19" s="27" t="s">
        <v>122</v>
      </c>
      <c r="C19" s="28" t="b">
        <v>0</v>
      </c>
    </row>
    <row r="20">
      <c r="A20" s="26" t="s">
        <v>263</v>
      </c>
      <c r="B20" s="27" t="s">
        <v>264</v>
      </c>
      <c r="C20" s="28" t="b">
        <v>1</v>
      </c>
    </row>
    <row r="21">
      <c r="A21" s="26" t="s">
        <v>186</v>
      </c>
      <c r="B21" s="27" t="s">
        <v>187</v>
      </c>
      <c r="C21" s="28" t="b">
        <v>0</v>
      </c>
      <c r="D21" s="5" t="s">
        <v>305</v>
      </c>
    </row>
    <row r="22">
      <c r="A22" s="26" t="s">
        <v>144</v>
      </c>
      <c r="B22" s="27" t="s">
        <v>145</v>
      </c>
      <c r="C22" s="28" t="b">
        <v>1</v>
      </c>
      <c r="D22" s="5" t="s">
        <v>306</v>
      </c>
    </row>
    <row r="23">
      <c r="A23" s="26" t="s">
        <v>219</v>
      </c>
      <c r="B23" s="27" t="s">
        <v>220</v>
      </c>
      <c r="C23" s="28" t="b">
        <v>1</v>
      </c>
    </row>
    <row r="24">
      <c r="A24" s="26" t="s">
        <v>123</v>
      </c>
      <c r="B24" s="27" t="s">
        <v>124</v>
      </c>
      <c r="C24" s="28" t="b">
        <v>1</v>
      </c>
    </row>
    <row r="25">
      <c r="A25" s="26" t="s">
        <v>159</v>
      </c>
      <c r="B25" s="27" t="s">
        <v>160</v>
      </c>
      <c r="C25" s="28" t="b">
        <v>1</v>
      </c>
    </row>
    <row r="26">
      <c r="A26" s="26" t="s">
        <v>101</v>
      </c>
      <c r="B26" s="27" t="s">
        <v>102</v>
      </c>
      <c r="C26" s="28" t="b">
        <v>1</v>
      </c>
    </row>
    <row r="27">
      <c r="A27" s="26" t="s">
        <v>87</v>
      </c>
      <c r="B27" s="27" t="s">
        <v>88</v>
      </c>
      <c r="C27" s="28" t="b">
        <v>0</v>
      </c>
      <c r="D27" s="5" t="s">
        <v>307</v>
      </c>
    </row>
    <row r="28">
      <c r="A28" s="26" t="s">
        <v>74</v>
      </c>
      <c r="B28" s="27" t="s">
        <v>75</v>
      </c>
      <c r="C28" s="28" t="b">
        <v>1</v>
      </c>
    </row>
    <row r="29">
      <c r="A29" s="26" t="s">
        <v>251</v>
      </c>
      <c r="B29" s="27" t="s">
        <v>252</v>
      </c>
      <c r="C29" s="28" t="b">
        <v>0</v>
      </c>
    </row>
    <row r="30">
      <c r="A30" s="26" t="s">
        <v>247</v>
      </c>
      <c r="B30" s="27" t="s">
        <v>248</v>
      </c>
      <c r="C30" s="28" t="b">
        <v>1</v>
      </c>
    </row>
    <row r="31">
      <c r="A31" s="26" t="s">
        <v>225</v>
      </c>
      <c r="B31" s="27" t="s">
        <v>226</v>
      </c>
      <c r="C31" s="28" t="b">
        <v>1</v>
      </c>
    </row>
    <row r="32">
      <c r="A32" s="26" t="s">
        <v>185</v>
      </c>
      <c r="B32" s="27" t="s">
        <v>289</v>
      </c>
      <c r="C32" s="28" t="b">
        <v>0</v>
      </c>
      <c r="D32" s="5" t="s">
        <v>308</v>
      </c>
    </row>
    <row r="33">
      <c r="A33" s="26" t="s">
        <v>211</v>
      </c>
      <c r="B33" s="27" t="s">
        <v>212</v>
      </c>
      <c r="C33" s="28" t="b">
        <v>0</v>
      </c>
    </row>
    <row r="34">
      <c r="A34" s="26" t="s">
        <v>190</v>
      </c>
      <c r="B34" s="27" t="s">
        <v>191</v>
      </c>
      <c r="C34" s="28" t="b">
        <v>0</v>
      </c>
    </row>
    <row r="35">
      <c r="A35" s="26" t="s">
        <v>233</v>
      </c>
      <c r="B35" s="27" t="s">
        <v>234</v>
      </c>
      <c r="C35" s="28" t="b">
        <v>0</v>
      </c>
    </row>
    <row r="36">
      <c r="A36" s="26" t="s">
        <v>271</v>
      </c>
      <c r="B36" s="27" t="s">
        <v>272</v>
      </c>
      <c r="C36" s="28" t="b">
        <v>0</v>
      </c>
    </row>
    <row r="37">
      <c r="A37" s="26" t="s">
        <v>99</v>
      </c>
      <c r="B37" s="27" t="s">
        <v>100</v>
      </c>
      <c r="C37" s="28" t="b">
        <v>1</v>
      </c>
    </row>
    <row r="38">
      <c r="A38" s="26" t="s">
        <v>136</v>
      </c>
      <c r="B38" s="27" t="s">
        <v>137</v>
      </c>
      <c r="C38" s="28" t="b">
        <v>0</v>
      </c>
    </row>
    <row r="39">
      <c r="A39" s="26" t="s">
        <v>146</v>
      </c>
      <c r="B39" s="27" t="s">
        <v>147</v>
      </c>
      <c r="C39" s="28" t="b">
        <v>0</v>
      </c>
    </row>
    <row r="40">
      <c r="A40" s="26" t="s">
        <v>132</v>
      </c>
      <c r="B40" s="27" t="s">
        <v>133</v>
      </c>
      <c r="C40" s="28" t="b">
        <v>1</v>
      </c>
    </row>
    <row r="41">
      <c r="A41" s="26" t="s">
        <v>198</v>
      </c>
      <c r="B41" s="27" t="s">
        <v>199</v>
      </c>
      <c r="C41" s="28" t="b">
        <v>1</v>
      </c>
      <c r="D41" s="5" t="s">
        <v>309</v>
      </c>
    </row>
    <row r="42">
      <c r="A42" s="26" t="s">
        <v>152</v>
      </c>
      <c r="B42" s="27" t="s">
        <v>153</v>
      </c>
      <c r="C42" s="28" t="b">
        <v>1</v>
      </c>
    </row>
    <row r="43">
      <c r="A43" s="26" t="s">
        <v>83</v>
      </c>
      <c r="B43" s="27" t="s">
        <v>84</v>
      </c>
      <c r="C43" s="28" t="b">
        <v>1</v>
      </c>
    </row>
    <row r="44">
      <c r="A44" s="26" t="s">
        <v>243</v>
      </c>
      <c r="B44" s="27" t="s">
        <v>244</v>
      </c>
      <c r="C44" s="28" t="b">
        <v>1</v>
      </c>
      <c r="D44" s="5">
        <v>6.3</v>
      </c>
    </row>
    <row r="45">
      <c r="A45" s="26" t="s">
        <v>167</v>
      </c>
      <c r="B45" s="27" t="s">
        <v>168</v>
      </c>
      <c r="C45" s="28" t="b">
        <v>1</v>
      </c>
    </row>
    <row r="46">
      <c r="A46" s="26" t="s">
        <v>106</v>
      </c>
      <c r="B46" s="27" t="s">
        <v>107</v>
      </c>
      <c r="C46" s="28" t="b">
        <v>1</v>
      </c>
      <c r="D46" s="5" t="s">
        <v>310</v>
      </c>
    </row>
    <row r="47">
      <c r="A47" s="26" t="s">
        <v>161</v>
      </c>
      <c r="B47" s="27" t="s">
        <v>162</v>
      </c>
      <c r="C47" s="28" t="b">
        <v>1</v>
      </c>
    </row>
    <row r="48">
      <c r="A48" s="26" t="s">
        <v>134</v>
      </c>
      <c r="B48" s="27" t="s">
        <v>135</v>
      </c>
      <c r="C48" s="28" t="b">
        <v>0</v>
      </c>
    </row>
    <row r="49">
      <c r="A49" s="26" t="s">
        <v>163</v>
      </c>
      <c r="B49" s="27" t="s">
        <v>164</v>
      </c>
      <c r="C49" s="28" t="b">
        <v>0</v>
      </c>
      <c r="D49" s="5" t="s">
        <v>311</v>
      </c>
    </row>
    <row r="50">
      <c r="A50" s="26" t="s">
        <v>150</v>
      </c>
      <c r="B50" s="27" t="s">
        <v>151</v>
      </c>
      <c r="C50" s="28" t="b">
        <v>1</v>
      </c>
    </row>
    <row r="51">
      <c r="A51" s="26" t="s">
        <v>175</v>
      </c>
      <c r="B51" s="27" t="s">
        <v>176</v>
      </c>
      <c r="C51" s="28" t="b">
        <v>1</v>
      </c>
    </row>
    <row r="52">
      <c r="A52" s="26" t="s">
        <v>142</v>
      </c>
      <c r="B52" s="27" t="s">
        <v>143</v>
      </c>
      <c r="C52" s="28" t="b">
        <v>1</v>
      </c>
    </row>
    <row r="53">
      <c r="A53" s="26" t="s">
        <v>173</v>
      </c>
      <c r="B53" s="27" t="s">
        <v>174</v>
      </c>
      <c r="C53" s="28" t="b">
        <v>1</v>
      </c>
    </row>
    <row r="54">
      <c r="A54" s="26" t="s">
        <v>261</v>
      </c>
      <c r="B54" s="27" t="s">
        <v>262</v>
      </c>
      <c r="C54" s="28" t="b">
        <v>1</v>
      </c>
    </row>
    <row r="55">
      <c r="A55" s="26" t="s">
        <v>265</v>
      </c>
      <c r="B55" s="27" t="s">
        <v>266</v>
      </c>
      <c r="C55" s="28" t="b">
        <v>1</v>
      </c>
    </row>
    <row r="56">
      <c r="A56" s="26" t="s">
        <v>117</v>
      </c>
      <c r="B56" s="27" t="s">
        <v>118</v>
      </c>
      <c r="C56" s="28" t="b">
        <v>0</v>
      </c>
    </row>
    <row r="57">
      <c r="A57" s="26" t="s">
        <v>79</v>
      </c>
      <c r="B57" s="27" t="s">
        <v>80</v>
      </c>
      <c r="C57" s="28" t="b">
        <v>0</v>
      </c>
    </row>
    <row r="58">
      <c r="A58" s="26" t="s">
        <v>140</v>
      </c>
      <c r="B58" s="27" t="s">
        <v>141</v>
      </c>
      <c r="C58" s="28" t="b">
        <v>1</v>
      </c>
    </row>
    <row r="59">
      <c r="A59" s="26" t="s">
        <v>192</v>
      </c>
      <c r="B59" s="27" t="s">
        <v>193</v>
      </c>
      <c r="C59" s="28" t="b">
        <v>0</v>
      </c>
    </row>
    <row r="60">
      <c r="A60" s="26" t="s">
        <v>148</v>
      </c>
      <c r="B60" s="27" t="s">
        <v>149</v>
      </c>
      <c r="C60" s="28" t="b">
        <v>0</v>
      </c>
    </row>
    <row r="61">
      <c r="A61" s="26" t="s">
        <v>194</v>
      </c>
      <c r="B61" s="27" t="s">
        <v>195</v>
      </c>
      <c r="C61" s="28" t="b">
        <v>1</v>
      </c>
    </row>
    <row r="62">
      <c r="A62" s="26" t="s">
        <v>130</v>
      </c>
      <c r="B62" s="27" t="s">
        <v>131</v>
      </c>
      <c r="C62" s="28" t="b">
        <v>0</v>
      </c>
    </row>
    <row r="63">
      <c r="A63" s="26" t="s">
        <v>207</v>
      </c>
      <c r="B63" s="27" t="s">
        <v>208</v>
      </c>
      <c r="C63" s="28" t="b">
        <v>0</v>
      </c>
    </row>
    <row r="64">
      <c r="A64" s="26" t="s">
        <v>245</v>
      </c>
      <c r="B64" s="27" t="s">
        <v>246</v>
      </c>
      <c r="C64" s="28" t="b">
        <v>0</v>
      </c>
    </row>
    <row r="65">
      <c r="A65" s="26" t="s">
        <v>154</v>
      </c>
      <c r="B65" s="27" t="s">
        <v>155</v>
      </c>
      <c r="C65" s="28" t="b">
        <v>1</v>
      </c>
    </row>
    <row r="66">
      <c r="A66" s="26" t="s">
        <v>204</v>
      </c>
      <c r="B66" s="27" t="s">
        <v>205</v>
      </c>
      <c r="C66" s="28" t="b">
        <v>1</v>
      </c>
      <c r="D66" s="5" t="s">
        <v>206</v>
      </c>
    </row>
    <row r="67">
      <c r="A67" s="26" t="s">
        <v>227</v>
      </c>
      <c r="B67" s="27" t="s">
        <v>228</v>
      </c>
      <c r="C67" s="28" t="b">
        <v>1</v>
      </c>
      <c r="D67" s="5" t="s">
        <v>312</v>
      </c>
    </row>
    <row r="68">
      <c r="A68" s="26" t="s">
        <v>257</v>
      </c>
      <c r="B68" s="27" t="s">
        <v>258</v>
      </c>
      <c r="C68" s="28" t="b">
        <v>1</v>
      </c>
    </row>
    <row r="69">
      <c r="A69" s="26" t="s">
        <v>156</v>
      </c>
      <c r="B69" s="27" t="s">
        <v>157</v>
      </c>
      <c r="C69" s="28" t="b">
        <v>1</v>
      </c>
      <c r="D69" s="5" t="s">
        <v>313</v>
      </c>
    </row>
    <row r="70">
      <c r="A70" s="26" t="s">
        <v>196</v>
      </c>
      <c r="B70" s="27" t="s">
        <v>197</v>
      </c>
      <c r="C70" s="28" t="b">
        <v>1</v>
      </c>
    </row>
    <row r="71">
      <c r="A71" s="26" t="s">
        <v>223</v>
      </c>
      <c r="B71" s="27" t="s">
        <v>224</v>
      </c>
      <c r="C71" s="28" t="b">
        <v>0</v>
      </c>
    </row>
    <row r="72">
      <c r="A72" s="26" t="s">
        <v>239</v>
      </c>
      <c r="B72" s="27" t="s">
        <v>240</v>
      </c>
      <c r="C72" s="28" t="b">
        <v>1</v>
      </c>
    </row>
    <row r="73">
      <c r="A73" s="26" t="s">
        <v>119</v>
      </c>
      <c r="B73" s="27" t="s">
        <v>120</v>
      </c>
      <c r="C73" s="28" t="b">
        <v>1</v>
      </c>
    </row>
    <row r="74">
      <c r="A74" s="26" t="s">
        <v>221</v>
      </c>
      <c r="B74" s="27" t="s">
        <v>222</v>
      </c>
      <c r="C74" s="28" t="b">
        <v>0</v>
      </c>
    </row>
    <row r="75">
      <c r="A75" s="26" t="s">
        <v>241</v>
      </c>
      <c r="B75" s="27" t="s">
        <v>242</v>
      </c>
      <c r="C75" s="28" t="b">
        <v>1</v>
      </c>
      <c r="D75" s="5" t="s">
        <v>314</v>
      </c>
    </row>
    <row r="76">
      <c r="A76" s="26" t="s">
        <v>126</v>
      </c>
      <c r="B76" s="27" t="s">
        <v>127</v>
      </c>
      <c r="C76" s="28" t="b">
        <v>0</v>
      </c>
    </row>
    <row r="77">
      <c r="A77" s="26" t="s">
        <v>91</v>
      </c>
      <c r="B77" s="27" t="s">
        <v>92</v>
      </c>
      <c r="C77" s="28" t="b">
        <v>1</v>
      </c>
    </row>
    <row r="78">
      <c r="A78" s="26" t="s">
        <v>267</v>
      </c>
      <c r="B78" s="27" t="s">
        <v>268</v>
      </c>
      <c r="C78" s="28" t="b">
        <v>0</v>
      </c>
    </row>
    <row r="79">
      <c r="A79" s="26" t="s">
        <v>76</v>
      </c>
      <c r="B79" s="27" t="s">
        <v>77</v>
      </c>
      <c r="C79" s="28" t="b">
        <v>1</v>
      </c>
    </row>
    <row r="80">
      <c r="A80" s="26" t="s">
        <v>202</v>
      </c>
      <c r="B80" s="27" t="s">
        <v>203</v>
      </c>
      <c r="C80" s="28" t="b">
        <v>0</v>
      </c>
    </row>
    <row r="81">
      <c r="A81" s="26" t="s">
        <v>89</v>
      </c>
      <c r="B81" s="27" t="s">
        <v>90</v>
      </c>
      <c r="C81" s="28" t="b">
        <v>0</v>
      </c>
      <c r="D81" s="5" t="s">
        <v>315</v>
      </c>
    </row>
    <row r="82">
      <c r="A82" s="26" t="s">
        <v>255</v>
      </c>
      <c r="B82" s="27" t="s">
        <v>256</v>
      </c>
      <c r="C82" s="28" t="b">
        <v>1</v>
      </c>
    </row>
    <row r="83">
      <c r="A83" s="26" t="s">
        <v>104</v>
      </c>
      <c r="B83" s="27" t="s">
        <v>105</v>
      </c>
      <c r="C83" s="28" t="b">
        <v>1</v>
      </c>
    </row>
    <row r="84">
      <c r="A84" s="26" t="s">
        <v>165</v>
      </c>
      <c r="B84" s="27" t="s">
        <v>166</v>
      </c>
      <c r="C84" s="28" t="b">
        <v>1</v>
      </c>
      <c r="D84" s="5" t="s">
        <v>316</v>
      </c>
    </row>
    <row r="85">
      <c r="A85" s="26" t="s">
        <v>93</v>
      </c>
      <c r="B85" s="27" t="s">
        <v>94</v>
      </c>
      <c r="C85" s="28" t="b">
        <v>1</v>
      </c>
    </row>
    <row r="86">
      <c r="A86" s="26" t="s">
        <v>111</v>
      </c>
      <c r="B86" s="27" t="s">
        <v>112</v>
      </c>
      <c r="C86" s="28" t="b">
        <v>1</v>
      </c>
      <c r="D86" s="5" t="s">
        <v>317</v>
      </c>
    </row>
    <row r="87">
      <c r="A87" s="26" t="s">
        <v>72</v>
      </c>
      <c r="B87" s="27" t="s">
        <v>73</v>
      </c>
      <c r="C87" s="28" t="b">
        <v>0</v>
      </c>
    </row>
    <row r="88">
      <c r="A88" s="26" t="s">
        <v>138</v>
      </c>
      <c r="B88" s="27" t="s">
        <v>139</v>
      </c>
      <c r="C88" s="28" t="b">
        <v>0</v>
      </c>
    </row>
    <row r="89">
      <c r="A89" s="26" t="s">
        <v>85</v>
      </c>
      <c r="B89" s="27" t="s">
        <v>86</v>
      </c>
      <c r="C89" s="28" t="b">
        <v>0</v>
      </c>
    </row>
    <row r="90">
      <c r="A90" s="26" t="s">
        <v>183</v>
      </c>
      <c r="B90" s="27" t="s">
        <v>184</v>
      </c>
      <c r="C90" s="28" t="b">
        <v>1</v>
      </c>
    </row>
    <row r="91">
      <c r="A91" s="26" t="s">
        <v>95</v>
      </c>
      <c r="B91" s="27" t="s">
        <v>96</v>
      </c>
      <c r="C91" s="28" t="b">
        <v>1</v>
      </c>
    </row>
    <row r="92">
      <c r="A92" s="26" t="s">
        <v>115</v>
      </c>
      <c r="B92" s="27" t="s">
        <v>116</v>
      </c>
      <c r="C92" s="28" t="b">
        <v>1</v>
      </c>
    </row>
    <row r="93">
      <c r="A93" s="26" t="s">
        <v>128</v>
      </c>
      <c r="B93" s="27" t="s">
        <v>129</v>
      </c>
      <c r="C93" s="28" t="b">
        <v>1</v>
      </c>
    </row>
    <row r="94">
      <c r="A94" s="26" t="s">
        <v>213</v>
      </c>
      <c r="B94" s="27" t="s">
        <v>214</v>
      </c>
      <c r="C94" s="28" t="b">
        <v>1</v>
      </c>
    </row>
    <row r="95">
      <c r="A95" s="26" t="s">
        <v>113</v>
      </c>
      <c r="B95" s="27" t="s">
        <v>114</v>
      </c>
      <c r="C95" s="28" t="b">
        <v>1</v>
      </c>
    </row>
    <row r="96">
      <c r="A96" s="26" t="s">
        <v>237</v>
      </c>
      <c r="B96" s="27" t="s">
        <v>238</v>
      </c>
      <c r="C96" s="28" t="b">
        <v>0</v>
      </c>
    </row>
    <row r="97">
      <c r="A97" s="26" t="s">
        <v>273</v>
      </c>
      <c r="B97" s="27" t="s">
        <v>274</v>
      </c>
      <c r="C97" s="28" t="b">
        <v>0</v>
      </c>
    </row>
    <row r="98">
      <c r="A98" s="26" t="s">
        <v>249</v>
      </c>
      <c r="B98" s="27" t="s">
        <v>250</v>
      </c>
      <c r="C98" s="28" t="b">
        <v>0</v>
      </c>
    </row>
    <row r="99">
      <c r="A99" s="26" t="s">
        <v>177</v>
      </c>
      <c r="B99" s="27" t="s">
        <v>178</v>
      </c>
      <c r="C99" s="28" t="b">
        <v>1</v>
      </c>
    </row>
    <row r="100">
      <c r="A100" s="26" t="s">
        <v>109</v>
      </c>
      <c r="B100" s="27" t="s">
        <v>110</v>
      </c>
      <c r="C100" s="28" t="b">
        <v>1</v>
      </c>
    </row>
    <row r="101">
      <c r="A101" s="26" t="s">
        <v>259</v>
      </c>
      <c r="B101" s="27" t="s">
        <v>260</v>
      </c>
      <c r="C101" s="28" t="b">
        <v>1</v>
      </c>
      <c r="D101" s="5" t="s">
        <v>318</v>
      </c>
    </row>
  </sheetData>
  <dataValidations>
    <dataValidation type="list" allowBlank="1" showErrorMessage="1" sqref="C2:C101">
      <formula1>"TO DO,TRUE,FALSE,SKIP"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 customWidth="1" min="11" max="11" width="17.13"/>
  </cols>
  <sheetData>
    <row r="1">
      <c r="A1" s="33" t="s">
        <v>319</v>
      </c>
      <c r="B1" s="33" t="s">
        <v>320</v>
      </c>
      <c r="C1" s="33" t="s">
        <v>321</v>
      </c>
      <c r="D1" s="33" t="s">
        <v>322</v>
      </c>
      <c r="E1" s="33" t="s">
        <v>323</v>
      </c>
      <c r="F1" s="33" t="s">
        <v>324</v>
      </c>
      <c r="G1" s="33" t="s">
        <v>325</v>
      </c>
      <c r="H1" s="33" t="s">
        <v>326</v>
      </c>
      <c r="I1" s="34" t="s">
        <v>327</v>
      </c>
      <c r="J1" s="33" t="s">
        <v>328</v>
      </c>
      <c r="K1" s="35" t="s">
        <v>329</v>
      </c>
    </row>
    <row r="2">
      <c r="A2" s="12" t="s">
        <v>330</v>
      </c>
      <c r="B2" s="12" t="s">
        <v>163</v>
      </c>
      <c r="C2" s="12" t="s">
        <v>164</v>
      </c>
      <c r="D2" s="36">
        <v>6.0</v>
      </c>
      <c r="E2" s="36">
        <v>2.0</v>
      </c>
      <c r="F2" s="36">
        <v>1.0</v>
      </c>
      <c r="G2" s="36">
        <v>3.0</v>
      </c>
      <c r="H2" s="36">
        <v>0.333333333333333</v>
      </c>
      <c r="I2" s="37" t="b">
        <v>0</v>
      </c>
      <c r="J2" s="12" t="s">
        <v>331</v>
      </c>
      <c r="K2" s="36" t="s">
        <v>108</v>
      </c>
    </row>
    <row r="3">
      <c r="A3" s="12" t="s">
        <v>332</v>
      </c>
      <c r="B3" s="12" t="s">
        <v>152</v>
      </c>
      <c r="C3" s="12" t="s">
        <v>153</v>
      </c>
      <c r="D3" s="36">
        <v>6.0</v>
      </c>
      <c r="E3" s="36">
        <v>2.0</v>
      </c>
      <c r="F3" s="36">
        <v>1.0</v>
      </c>
      <c r="G3" s="36">
        <v>3.0</v>
      </c>
      <c r="H3" s="36">
        <v>0.333333333333333</v>
      </c>
      <c r="I3" s="37" t="b">
        <v>0</v>
      </c>
      <c r="J3" s="12" t="s">
        <v>331</v>
      </c>
      <c r="K3" s="36" t="s">
        <v>333</v>
      </c>
    </row>
    <row r="4">
      <c r="A4" s="12" t="s">
        <v>334</v>
      </c>
      <c r="B4" s="12" t="s">
        <v>271</v>
      </c>
      <c r="C4" s="12" t="s">
        <v>272</v>
      </c>
      <c r="D4" s="36">
        <v>6.0</v>
      </c>
      <c r="E4" s="36">
        <v>4.0</v>
      </c>
      <c r="F4" s="36">
        <v>0.0</v>
      </c>
      <c r="G4" s="36">
        <v>4.0</v>
      </c>
      <c r="H4" s="36">
        <v>1.0</v>
      </c>
      <c r="I4" s="37" t="b">
        <v>0</v>
      </c>
      <c r="J4" s="12" t="s">
        <v>335</v>
      </c>
      <c r="K4" s="36" t="s">
        <v>336</v>
      </c>
    </row>
    <row r="5">
      <c r="A5" s="12" t="s">
        <v>337</v>
      </c>
      <c r="B5" s="12" t="s">
        <v>255</v>
      </c>
      <c r="C5" s="12" t="s">
        <v>256</v>
      </c>
      <c r="D5" s="36">
        <v>6.0</v>
      </c>
      <c r="E5" s="36">
        <v>0.0</v>
      </c>
      <c r="F5" s="36">
        <v>3.0</v>
      </c>
      <c r="G5" s="36">
        <v>3.0</v>
      </c>
      <c r="H5" s="36">
        <v>1.0</v>
      </c>
      <c r="I5" s="37" t="b">
        <v>1</v>
      </c>
      <c r="J5" s="12" t="s">
        <v>335</v>
      </c>
      <c r="K5" s="36" t="s">
        <v>338</v>
      </c>
    </row>
    <row r="6">
      <c r="A6" s="12" t="s">
        <v>339</v>
      </c>
      <c r="B6" s="12" t="s">
        <v>111</v>
      </c>
      <c r="C6" s="12" t="s">
        <v>112</v>
      </c>
      <c r="D6" s="36">
        <v>6.0</v>
      </c>
      <c r="E6" s="36">
        <v>7.0</v>
      </c>
      <c r="F6" s="36">
        <v>3.0</v>
      </c>
      <c r="G6" s="36">
        <v>10.0</v>
      </c>
      <c r="H6" s="36">
        <v>0.4</v>
      </c>
      <c r="I6" s="37" t="b">
        <v>0</v>
      </c>
      <c r="J6" s="12" t="s">
        <v>331</v>
      </c>
      <c r="K6" s="36" t="s">
        <v>340</v>
      </c>
    </row>
    <row r="7">
      <c r="A7" s="12" t="s">
        <v>341</v>
      </c>
      <c r="B7" s="12" t="s">
        <v>148</v>
      </c>
      <c r="C7" s="12" t="s">
        <v>149</v>
      </c>
      <c r="D7" s="36">
        <v>6.0</v>
      </c>
      <c r="E7" s="36">
        <v>2.0</v>
      </c>
      <c r="F7" s="36">
        <v>2.0</v>
      </c>
      <c r="G7" s="36">
        <v>4.0</v>
      </c>
      <c r="H7" s="36">
        <v>0.0</v>
      </c>
      <c r="I7" s="37" t="s">
        <v>342</v>
      </c>
      <c r="J7" s="12" t="s">
        <v>343</v>
      </c>
      <c r="K7" s="36" t="s">
        <v>333</v>
      </c>
    </row>
    <row r="8">
      <c r="A8" s="12" t="s">
        <v>344</v>
      </c>
      <c r="B8" s="12" t="s">
        <v>74</v>
      </c>
      <c r="C8" s="12" t="s">
        <v>75</v>
      </c>
      <c r="D8" s="36">
        <v>6.0</v>
      </c>
      <c r="E8" s="36">
        <v>5.0</v>
      </c>
      <c r="F8" s="36">
        <v>4.0</v>
      </c>
      <c r="G8" s="36">
        <v>9.0</v>
      </c>
      <c r="H8" s="36">
        <v>0.111111111111111</v>
      </c>
      <c r="I8" s="37" t="b">
        <v>0</v>
      </c>
      <c r="J8" s="12" t="s">
        <v>343</v>
      </c>
      <c r="K8" s="36" t="s">
        <v>333</v>
      </c>
    </row>
    <row r="9">
      <c r="A9" s="12" t="s">
        <v>345</v>
      </c>
      <c r="B9" s="12" t="s">
        <v>198</v>
      </c>
      <c r="C9" s="12" t="s">
        <v>199</v>
      </c>
      <c r="D9" s="36">
        <v>6.0</v>
      </c>
      <c r="E9" s="36">
        <v>3.0</v>
      </c>
      <c r="F9" s="36">
        <v>10.0</v>
      </c>
      <c r="G9" s="36">
        <v>13.0</v>
      </c>
      <c r="H9" s="36">
        <v>0.538461538461538</v>
      </c>
      <c r="I9" s="37" t="b">
        <v>1</v>
      </c>
      <c r="J9" s="12" t="s">
        <v>346</v>
      </c>
      <c r="K9" s="36" t="s">
        <v>340</v>
      </c>
    </row>
    <row r="10">
      <c r="A10" s="12" t="s">
        <v>347</v>
      </c>
      <c r="B10" s="12" t="s">
        <v>217</v>
      </c>
      <c r="C10" s="12" t="s">
        <v>218</v>
      </c>
      <c r="D10" s="36">
        <v>6.0</v>
      </c>
      <c r="E10" s="36">
        <v>2.0</v>
      </c>
      <c r="F10" s="36">
        <v>5.0</v>
      </c>
      <c r="G10" s="36">
        <v>7.0</v>
      </c>
      <c r="H10" s="36">
        <v>0.428571428571428</v>
      </c>
      <c r="I10" s="37" t="b">
        <v>1</v>
      </c>
      <c r="J10" s="12" t="s">
        <v>346</v>
      </c>
      <c r="K10" s="36" t="s">
        <v>348</v>
      </c>
    </row>
    <row r="11">
      <c r="A11" s="12" t="s">
        <v>349</v>
      </c>
      <c r="B11" s="12" t="s">
        <v>101</v>
      </c>
      <c r="C11" s="12" t="s">
        <v>102</v>
      </c>
      <c r="D11" s="36">
        <v>6.0</v>
      </c>
      <c r="E11" s="36">
        <v>2.0</v>
      </c>
      <c r="F11" s="36">
        <v>9.0</v>
      </c>
      <c r="G11" s="36">
        <v>11.0</v>
      </c>
      <c r="H11" s="36">
        <v>0.636363636363636</v>
      </c>
      <c r="I11" s="37" t="b">
        <v>1</v>
      </c>
      <c r="J11" s="12" t="s">
        <v>350</v>
      </c>
      <c r="K11" s="36" t="s">
        <v>340</v>
      </c>
    </row>
    <row r="12">
      <c r="A12" s="12" t="s">
        <v>351</v>
      </c>
      <c r="B12" s="12" t="s">
        <v>237</v>
      </c>
      <c r="C12" s="12" t="s">
        <v>238</v>
      </c>
      <c r="D12" s="36">
        <v>6.0</v>
      </c>
      <c r="E12" s="36">
        <v>6.0</v>
      </c>
      <c r="F12" s="36">
        <v>3.0</v>
      </c>
      <c r="G12" s="36">
        <v>9.0</v>
      </c>
      <c r="H12" s="36">
        <v>0.333333333333333</v>
      </c>
      <c r="I12" s="37" t="b">
        <v>0</v>
      </c>
      <c r="J12" s="12" t="s">
        <v>331</v>
      </c>
      <c r="K12" s="36" t="s">
        <v>336</v>
      </c>
    </row>
    <row r="13">
      <c r="A13" s="12" t="s">
        <v>352</v>
      </c>
      <c r="B13" s="12" t="s">
        <v>161</v>
      </c>
      <c r="C13" s="12" t="s">
        <v>162</v>
      </c>
      <c r="D13" s="36">
        <v>6.0</v>
      </c>
      <c r="E13" s="36">
        <v>3.0</v>
      </c>
      <c r="F13" s="36">
        <v>1.0</v>
      </c>
      <c r="G13" s="36">
        <v>4.0</v>
      </c>
      <c r="H13" s="36">
        <v>0.5</v>
      </c>
      <c r="I13" s="37" t="b">
        <v>0</v>
      </c>
      <c r="J13" s="12" t="s">
        <v>346</v>
      </c>
      <c r="K13" s="36" t="s">
        <v>108</v>
      </c>
    </row>
    <row r="14">
      <c r="A14" s="12" t="s">
        <v>353</v>
      </c>
      <c r="B14" s="12" t="s">
        <v>249</v>
      </c>
      <c r="C14" s="12" t="s">
        <v>250</v>
      </c>
      <c r="D14" s="36">
        <v>6.0</v>
      </c>
      <c r="E14" s="36">
        <v>8.0</v>
      </c>
      <c r="F14" s="36">
        <v>1.0</v>
      </c>
      <c r="G14" s="36">
        <v>9.0</v>
      </c>
      <c r="H14" s="36">
        <v>0.777777777777777</v>
      </c>
      <c r="I14" s="37" t="b">
        <v>0</v>
      </c>
      <c r="J14" s="12" t="s">
        <v>350</v>
      </c>
      <c r="K14" s="36" t="s">
        <v>340</v>
      </c>
    </row>
    <row r="15">
      <c r="A15" s="12" t="s">
        <v>354</v>
      </c>
      <c r="B15" s="12" t="s">
        <v>132</v>
      </c>
      <c r="C15" s="12" t="s">
        <v>133</v>
      </c>
      <c r="D15" s="36">
        <v>6.0</v>
      </c>
      <c r="E15" s="36">
        <v>0.0</v>
      </c>
      <c r="F15" s="36">
        <v>15.0</v>
      </c>
      <c r="G15" s="36">
        <v>15.0</v>
      </c>
      <c r="H15" s="36">
        <v>1.0</v>
      </c>
      <c r="I15" s="37" t="b">
        <v>1</v>
      </c>
      <c r="J15" s="12" t="s">
        <v>335</v>
      </c>
      <c r="K15" s="36" t="s">
        <v>340</v>
      </c>
    </row>
    <row r="16">
      <c r="A16" s="12" t="s">
        <v>355</v>
      </c>
      <c r="B16" s="12" t="s">
        <v>179</v>
      </c>
      <c r="C16" s="12" t="s">
        <v>180</v>
      </c>
      <c r="D16" s="36">
        <v>6.0</v>
      </c>
      <c r="E16" s="36">
        <v>2.0</v>
      </c>
      <c r="F16" s="36">
        <v>2.0</v>
      </c>
      <c r="G16" s="36">
        <v>4.0</v>
      </c>
      <c r="H16" s="36">
        <v>0.0</v>
      </c>
      <c r="I16" s="37" t="s">
        <v>342</v>
      </c>
      <c r="J16" s="12" t="s">
        <v>343</v>
      </c>
      <c r="K16" s="36" t="s">
        <v>356</v>
      </c>
    </row>
    <row r="17">
      <c r="A17" s="12" t="s">
        <v>357</v>
      </c>
      <c r="B17" s="12" t="s">
        <v>263</v>
      </c>
      <c r="C17" s="12" t="s">
        <v>264</v>
      </c>
      <c r="D17" s="36">
        <v>6.0</v>
      </c>
      <c r="E17" s="36">
        <v>2.0</v>
      </c>
      <c r="F17" s="36">
        <v>1.0</v>
      </c>
      <c r="G17" s="36">
        <v>3.0</v>
      </c>
      <c r="H17" s="36">
        <v>0.333333333333333</v>
      </c>
      <c r="I17" s="37" t="b">
        <v>0</v>
      </c>
      <c r="J17" s="12" t="s">
        <v>331</v>
      </c>
      <c r="K17" s="36" t="s">
        <v>358</v>
      </c>
    </row>
    <row r="18">
      <c r="A18" s="12" t="s">
        <v>359</v>
      </c>
      <c r="B18" s="12" t="s">
        <v>207</v>
      </c>
      <c r="C18" s="12" t="s">
        <v>208</v>
      </c>
      <c r="D18" s="36">
        <v>6.0</v>
      </c>
      <c r="E18" s="36">
        <v>7.0</v>
      </c>
      <c r="F18" s="36">
        <v>2.0</v>
      </c>
      <c r="G18" s="36">
        <v>9.0</v>
      </c>
      <c r="H18" s="36">
        <v>0.555555555555555</v>
      </c>
      <c r="I18" s="37" t="b">
        <v>0</v>
      </c>
      <c r="J18" s="12" t="s">
        <v>346</v>
      </c>
      <c r="K18" s="36" t="s">
        <v>340</v>
      </c>
    </row>
    <row r="19">
      <c r="A19" s="12" t="s">
        <v>360</v>
      </c>
      <c r="B19" s="12" t="s">
        <v>142</v>
      </c>
      <c r="C19" s="12" t="s">
        <v>143</v>
      </c>
      <c r="D19" s="36">
        <v>6.0</v>
      </c>
      <c r="E19" s="36">
        <v>1.0</v>
      </c>
      <c r="F19" s="36">
        <v>3.0</v>
      </c>
      <c r="G19" s="36">
        <v>4.0</v>
      </c>
      <c r="H19" s="36">
        <v>0.5</v>
      </c>
      <c r="I19" s="37" t="b">
        <v>1</v>
      </c>
      <c r="J19" s="12" t="s">
        <v>346</v>
      </c>
      <c r="K19" s="36" t="s">
        <v>358</v>
      </c>
    </row>
    <row r="20">
      <c r="A20" s="12" t="s">
        <v>361</v>
      </c>
      <c r="B20" s="12" t="s">
        <v>265</v>
      </c>
      <c r="C20" s="12" t="s">
        <v>266</v>
      </c>
      <c r="D20" s="36">
        <v>6.0</v>
      </c>
      <c r="E20" s="36">
        <v>3.0</v>
      </c>
      <c r="F20" s="36">
        <v>0.0</v>
      </c>
      <c r="G20" s="36">
        <v>3.0</v>
      </c>
      <c r="H20" s="36">
        <v>1.0</v>
      </c>
      <c r="I20" s="37" t="b">
        <v>0</v>
      </c>
      <c r="J20" s="12" t="s">
        <v>335</v>
      </c>
      <c r="K20" s="36" t="s">
        <v>358</v>
      </c>
    </row>
    <row r="21">
      <c r="A21" s="12" t="s">
        <v>353</v>
      </c>
      <c r="B21" s="12" t="s">
        <v>221</v>
      </c>
      <c r="C21" s="12" t="s">
        <v>222</v>
      </c>
      <c r="D21" s="36">
        <v>6.0</v>
      </c>
      <c r="E21" s="36">
        <v>7.0</v>
      </c>
      <c r="F21" s="36">
        <v>3.0</v>
      </c>
      <c r="G21" s="36">
        <v>10.0</v>
      </c>
      <c r="H21" s="36">
        <v>0.4</v>
      </c>
      <c r="I21" s="37" t="b">
        <v>0</v>
      </c>
      <c r="J21" s="12" t="s">
        <v>331</v>
      </c>
      <c r="K21" s="36" t="s">
        <v>340</v>
      </c>
    </row>
    <row r="22">
      <c r="A22" s="12" t="s">
        <v>345</v>
      </c>
      <c r="B22" s="12" t="s">
        <v>154</v>
      </c>
      <c r="C22" s="12" t="s">
        <v>155</v>
      </c>
      <c r="D22" s="36">
        <v>6.0</v>
      </c>
      <c r="E22" s="36">
        <v>1.0</v>
      </c>
      <c r="F22" s="36">
        <v>9.0</v>
      </c>
      <c r="G22" s="36">
        <v>10.0</v>
      </c>
      <c r="H22" s="36">
        <v>0.8</v>
      </c>
      <c r="I22" s="37" t="b">
        <v>1</v>
      </c>
      <c r="J22" s="12" t="s">
        <v>350</v>
      </c>
      <c r="K22" s="36" t="s">
        <v>340</v>
      </c>
    </row>
    <row r="23">
      <c r="A23" s="12" t="s">
        <v>362</v>
      </c>
      <c r="B23" s="12" t="s">
        <v>93</v>
      </c>
      <c r="C23" s="12" t="s">
        <v>94</v>
      </c>
      <c r="D23" s="36">
        <v>6.0</v>
      </c>
      <c r="E23" s="36">
        <v>1.0</v>
      </c>
      <c r="F23" s="36">
        <v>2.0</v>
      </c>
      <c r="G23" s="36">
        <v>3.0</v>
      </c>
      <c r="H23" s="36">
        <v>0.333333333333333</v>
      </c>
      <c r="I23" s="37" t="b">
        <v>1</v>
      </c>
      <c r="J23" s="12" t="s">
        <v>331</v>
      </c>
      <c r="K23" s="36" t="s">
        <v>363</v>
      </c>
    </row>
    <row r="24">
      <c r="A24" s="12" t="s">
        <v>345</v>
      </c>
      <c r="B24" s="12" t="s">
        <v>257</v>
      </c>
      <c r="C24" s="12" t="s">
        <v>258</v>
      </c>
      <c r="D24" s="36">
        <v>6.0</v>
      </c>
      <c r="E24" s="36">
        <v>2.0</v>
      </c>
      <c r="F24" s="36">
        <v>2.0</v>
      </c>
      <c r="G24" s="36">
        <v>4.0</v>
      </c>
      <c r="H24" s="36">
        <v>0.0</v>
      </c>
      <c r="I24" s="37" t="s">
        <v>342</v>
      </c>
      <c r="J24" s="12" t="s">
        <v>343</v>
      </c>
      <c r="K24" s="36" t="s">
        <v>108</v>
      </c>
    </row>
    <row r="25">
      <c r="A25" s="12" t="s">
        <v>364</v>
      </c>
      <c r="B25" s="12" t="s">
        <v>138</v>
      </c>
      <c r="C25" s="12" t="s">
        <v>139</v>
      </c>
      <c r="D25" s="36">
        <v>6.0</v>
      </c>
      <c r="E25" s="36">
        <v>7.0</v>
      </c>
      <c r="F25" s="36">
        <v>2.0</v>
      </c>
      <c r="G25" s="36">
        <v>9.0</v>
      </c>
      <c r="H25" s="36">
        <v>0.555555555555555</v>
      </c>
      <c r="I25" s="37" t="b">
        <v>0</v>
      </c>
      <c r="J25" s="12" t="s">
        <v>346</v>
      </c>
      <c r="K25" s="36" t="s">
        <v>340</v>
      </c>
    </row>
    <row r="26">
      <c r="A26" s="12" t="s">
        <v>334</v>
      </c>
      <c r="B26" s="12" t="s">
        <v>253</v>
      </c>
      <c r="C26" s="12" t="s">
        <v>254</v>
      </c>
      <c r="D26" s="36">
        <v>6.0</v>
      </c>
      <c r="E26" s="36">
        <v>3.0</v>
      </c>
      <c r="F26" s="36">
        <v>0.0</v>
      </c>
      <c r="G26" s="36">
        <v>3.0</v>
      </c>
      <c r="H26" s="36">
        <v>1.0</v>
      </c>
      <c r="I26" s="37" t="b">
        <v>0</v>
      </c>
      <c r="J26" s="12" t="s">
        <v>335</v>
      </c>
      <c r="K26" s="36" t="s">
        <v>333</v>
      </c>
    </row>
    <row r="27">
      <c r="A27" s="12" t="s">
        <v>365</v>
      </c>
      <c r="B27" s="12" t="s">
        <v>239</v>
      </c>
      <c r="C27" s="12" t="s">
        <v>240</v>
      </c>
      <c r="D27" s="36">
        <v>6.0</v>
      </c>
      <c r="E27" s="36">
        <v>1.0</v>
      </c>
      <c r="F27" s="36">
        <v>2.0</v>
      </c>
      <c r="G27" s="36">
        <v>3.0</v>
      </c>
      <c r="H27" s="36">
        <v>0.333333333333333</v>
      </c>
      <c r="I27" s="37" t="b">
        <v>1</v>
      </c>
      <c r="J27" s="12" t="s">
        <v>331</v>
      </c>
      <c r="K27" s="36" t="s">
        <v>125</v>
      </c>
    </row>
    <row r="28">
      <c r="A28" s="12" t="s">
        <v>366</v>
      </c>
      <c r="B28" s="12" t="s">
        <v>196</v>
      </c>
      <c r="C28" s="12" t="s">
        <v>197</v>
      </c>
      <c r="D28" s="36">
        <v>6.0</v>
      </c>
      <c r="E28" s="36">
        <v>3.0</v>
      </c>
      <c r="F28" s="36">
        <v>1.0</v>
      </c>
      <c r="G28" s="36">
        <v>4.0</v>
      </c>
      <c r="H28" s="36">
        <v>0.5</v>
      </c>
      <c r="I28" s="37" t="b">
        <v>0</v>
      </c>
      <c r="J28" s="12" t="s">
        <v>346</v>
      </c>
      <c r="K28" s="36" t="s">
        <v>348</v>
      </c>
    </row>
    <row r="29">
      <c r="A29" s="12" t="s">
        <v>367</v>
      </c>
      <c r="B29" s="12" t="s">
        <v>89</v>
      </c>
      <c r="C29" s="12" t="s">
        <v>90</v>
      </c>
      <c r="D29" s="36">
        <v>6.0</v>
      </c>
      <c r="E29" s="36">
        <v>3.0</v>
      </c>
      <c r="F29" s="36">
        <v>0.0</v>
      </c>
      <c r="G29" s="36">
        <v>3.0</v>
      </c>
      <c r="H29" s="36">
        <v>1.0</v>
      </c>
      <c r="I29" s="37" t="b">
        <v>0</v>
      </c>
      <c r="J29" s="12" t="s">
        <v>335</v>
      </c>
      <c r="K29" s="36" t="s">
        <v>338</v>
      </c>
    </row>
    <row r="30">
      <c r="A30" s="12" t="s">
        <v>368</v>
      </c>
      <c r="B30" s="12" t="s">
        <v>95</v>
      </c>
      <c r="C30" s="12" t="s">
        <v>96</v>
      </c>
      <c r="D30" s="36">
        <v>6.0</v>
      </c>
      <c r="E30" s="36">
        <v>2.0</v>
      </c>
      <c r="F30" s="36">
        <v>1.0</v>
      </c>
      <c r="G30" s="36">
        <v>3.0</v>
      </c>
      <c r="H30" s="36">
        <v>0.333333333333333</v>
      </c>
      <c r="I30" s="37" t="b">
        <v>0</v>
      </c>
      <c r="J30" s="12" t="s">
        <v>331</v>
      </c>
      <c r="K30" s="36" t="s">
        <v>363</v>
      </c>
    </row>
    <row r="31">
      <c r="A31" s="12" t="s">
        <v>369</v>
      </c>
      <c r="B31" s="12" t="s">
        <v>97</v>
      </c>
      <c r="C31" s="12" t="s">
        <v>98</v>
      </c>
      <c r="D31" s="36">
        <v>6.0</v>
      </c>
      <c r="E31" s="36">
        <v>8.0</v>
      </c>
      <c r="F31" s="36">
        <v>1.0</v>
      </c>
      <c r="G31" s="36">
        <v>9.0</v>
      </c>
      <c r="H31" s="36">
        <v>0.777777777777777</v>
      </c>
      <c r="I31" s="37" t="b">
        <v>0</v>
      </c>
      <c r="J31" s="12" t="s">
        <v>350</v>
      </c>
      <c r="K31" s="36" t="s">
        <v>340</v>
      </c>
    </row>
    <row r="32">
      <c r="A32" s="12" t="s">
        <v>370</v>
      </c>
      <c r="B32" s="12" t="s">
        <v>269</v>
      </c>
      <c r="C32" s="12" t="s">
        <v>270</v>
      </c>
      <c r="D32" s="36">
        <v>6.0</v>
      </c>
      <c r="E32" s="36">
        <v>3.0</v>
      </c>
      <c r="F32" s="36">
        <v>0.0</v>
      </c>
      <c r="G32" s="36">
        <v>3.0</v>
      </c>
      <c r="H32" s="36">
        <v>1.0</v>
      </c>
      <c r="I32" s="37" t="b">
        <v>0</v>
      </c>
      <c r="J32" s="12" t="s">
        <v>335</v>
      </c>
      <c r="K32" s="36" t="s">
        <v>363</v>
      </c>
    </row>
    <row r="33">
      <c r="A33" s="12" t="s">
        <v>371</v>
      </c>
      <c r="B33" s="12" t="s">
        <v>202</v>
      </c>
      <c r="C33" s="12" t="s">
        <v>203</v>
      </c>
      <c r="D33" s="36">
        <v>6.0</v>
      </c>
      <c r="E33" s="36">
        <v>5.0</v>
      </c>
      <c r="F33" s="36">
        <v>6.0</v>
      </c>
      <c r="G33" s="36">
        <v>11.0</v>
      </c>
      <c r="H33" s="36">
        <v>0.0909090909090909</v>
      </c>
      <c r="I33" s="37" t="b">
        <v>1</v>
      </c>
      <c r="J33" s="12" t="s">
        <v>343</v>
      </c>
      <c r="K33" s="36" t="s">
        <v>340</v>
      </c>
    </row>
    <row r="34">
      <c r="A34" s="12" t="s">
        <v>372</v>
      </c>
      <c r="B34" s="12" t="s">
        <v>99</v>
      </c>
      <c r="C34" s="12" t="s">
        <v>100</v>
      </c>
      <c r="D34" s="36">
        <v>6.0</v>
      </c>
      <c r="E34" s="36">
        <v>0.0</v>
      </c>
      <c r="F34" s="36">
        <v>12.0</v>
      </c>
      <c r="G34" s="36">
        <v>12.0</v>
      </c>
      <c r="H34" s="36">
        <v>1.0</v>
      </c>
      <c r="I34" s="37" t="b">
        <v>1</v>
      </c>
      <c r="J34" s="12" t="s">
        <v>335</v>
      </c>
      <c r="K34" s="36" t="s">
        <v>340</v>
      </c>
    </row>
    <row r="35">
      <c r="A35" s="12" t="s">
        <v>373</v>
      </c>
      <c r="B35" s="12" t="s">
        <v>167</v>
      </c>
      <c r="C35" s="12" t="s">
        <v>168</v>
      </c>
      <c r="D35" s="36">
        <v>6.0</v>
      </c>
      <c r="E35" s="36">
        <v>1.0</v>
      </c>
      <c r="F35" s="36">
        <v>8.0</v>
      </c>
      <c r="G35" s="36">
        <v>9.0</v>
      </c>
      <c r="H35" s="36">
        <v>0.777777777777777</v>
      </c>
      <c r="I35" s="37" t="b">
        <v>1</v>
      </c>
      <c r="J35" s="12" t="s">
        <v>350</v>
      </c>
      <c r="K35" s="36" t="s">
        <v>358</v>
      </c>
    </row>
    <row r="36">
      <c r="A36" s="12" t="s">
        <v>374</v>
      </c>
      <c r="B36" s="12" t="s">
        <v>72</v>
      </c>
      <c r="C36" s="12" t="s">
        <v>73</v>
      </c>
      <c r="D36" s="36">
        <v>6.0</v>
      </c>
      <c r="E36" s="36">
        <v>6.0</v>
      </c>
      <c r="F36" s="36">
        <v>3.0</v>
      </c>
      <c r="G36" s="36">
        <v>9.0</v>
      </c>
      <c r="H36" s="36">
        <v>0.333333333333333</v>
      </c>
      <c r="I36" s="37" t="b">
        <v>0</v>
      </c>
      <c r="J36" s="12" t="s">
        <v>331</v>
      </c>
      <c r="K36" s="36" t="s">
        <v>125</v>
      </c>
    </row>
    <row r="37">
      <c r="A37" s="12" t="s">
        <v>375</v>
      </c>
      <c r="B37" s="12" t="s">
        <v>225</v>
      </c>
      <c r="C37" s="12" t="s">
        <v>226</v>
      </c>
      <c r="D37" s="36">
        <v>6.0</v>
      </c>
      <c r="E37" s="36">
        <v>1.0</v>
      </c>
      <c r="F37" s="36">
        <v>2.0</v>
      </c>
      <c r="G37" s="36">
        <v>3.0</v>
      </c>
      <c r="H37" s="36">
        <v>0.333333333333333</v>
      </c>
      <c r="I37" s="37" t="b">
        <v>1</v>
      </c>
      <c r="J37" s="12" t="s">
        <v>331</v>
      </c>
      <c r="K37" s="36" t="s">
        <v>333</v>
      </c>
    </row>
    <row r="38">
      <c r="A38" s="12" t="s">
        <v>353</v>
      </c>
      <c r="B38" s="12" t="s">
        <v>134</v>
      </c>
      <c r="C38" s="12" t="s">
        <v>135</v>
      </c>
      <c r="D38" s="36">
        <v>6.0</v>
      </c>
      <c r="E38" s="36">
        <v>9.0</v>
      </c>
      <c r="F38" s="36">
        <v>0.0</v>
      </c>
      <c r="G38" s="36">
        <v>9.0</v>
      </c>
      <c r="H38" s="36">
        <v>1.0</v>
      </c>
      <c r="I38" s="37" t="b">
        <v>0</v>
      </c>
      <c r="J38" s="12" t="s">
        <v>335</v>
      </c>
      <c r="K38" s="36" t="s">
        <v>340</v>
      </c>
    </row>
    <row r="39">
      <c r="A39" s="12" t="s">
        <v>376</v>
      </c>
      <c r="B39" s="12" t="s">
        <v>177</v>
      </c>
      <c r="C39" s="12" t="s">
        <v>178</v>
      </c>
      <c r="D39" s="36">
        <v>6.0</v>
      </c>
      <c r="E39" s="36">
        <v>0.0</v>
      </c>
      <c r="F39" s="36">
        <v>3.0</v>
      </c>
      <c r="G39" s="36">
        <v>3.0</v>
      </c>
      <c r="H39" s="36">
        <v>1.0</v>
      </c>
      <c r="I39" s="37" t="b">
        <v>1</v>
      </c>
      <c r="J39" s="12" t="s">
        <v>335</v>
      </c>
      <c r="K39" s="36" t="s">
        <v>336</v>
      </c>
    </row>
    <row r="40">
      <c r="A40" s="12" t="s">
        <v>377</v>
      </c>
      <c r="B40" s="12" t="s">
        <v>190</v>
      </c>
      <c r="C40" s="12" t="s">
        <v>191</v>
      </c>
      <c r="D40" s="36">
        <v>6.0</v>
      </c>
      <c r="E40" s="36">
        <v>5.0</v>
      </c>
      <c r="F40" s="36">
        <v>4.0</v>
      </c>
      <c r="G40" s="36">
        <v>9.0</v>
      </c>
      <c r="H40" s="36">
        <v>0.111111111111111</v>
      </c>
      <c r="I40" s="37" t="b">
        <v>0</v>
      </c>
      <c r="J40" s="12" t="s">
        <v>343</v>
      </c>
      <c r="K40" s="36" t="s">
        <v>340</v>
      </c>
    </row>
    <row r="41">
      <c r="A41" s="12" t="s">
        <v>378</v>
      </c>
      <c r="B41" s="12" t="s">
        <v>81</v>
      </c>
      <c r="C41" s="12" t="s">
        <v>82</v>
      </c>
      <c r="D41" s="36">
        <v>6.0</v>
      </c>
      <c r="E41" s="36">
        <v>2.0</v>
      </c>
      <c r="F41" s="36">
        <v>8.0</v>
      </c>
      <c r="G41" s="36">
        <v>10.0</v>
      </c>
      <c r="H41" s="36">
        <v>0.6</v>
      </c>
      <c r="I41" s="37" t="b">
        <v>1</v>
      </c>
      <c r="J41" s="12" t="s">
        <v>346</v>
      </c>
      <c r="K41" s="36" t="s">
        <v>340</v>
      </c>
    </row>
    <row r="42">
      <c r="A42" s="12" t="s">
        <v>379</v>
      </c>
      <c r="B42" s="12" t="s">
        <v>159</v>
      </c>
      <c r="C42" s="12" t="s">
        <v>160</v>
      </c>
      <c r="D42" s="36">
        <v>6.0</v>
      </c>
      <c r="E42" s="36">
        <v>1.0</v>
      </c>
      <c r="F42" s="36">
        <v>3.0</v>
      </c>
      <c r="G42" s="36">
        <v>4.0</v>
      </c>
      <c r="H42" s="36">
        <v>0.5</v>
      </c>
      <c r="I42" s="37" t="b">
        <v>1</v>
      </c>
      <c r="J42" s="12" t="s">
        <v>346</v>
      </c>
      <c r="K42" s="36" t="s">
        <v>336</v>
      </c>
    </row>
    <row r="43">
      <c r="A43" s="12" t="s">
        <v>380</v>
      </c>
      <c r="B43" s="12" t="s">
        <v>185</v>
      </c>
      <c r="C43" s="12" t="s">
        <v>289</v>
      </c>
      <c r="D43" s="36">
        <v>6.0</v>
      </c>
      <c r="E43" s="36">
        <v>458.0</v>
      </c>
      <c r="F43" s="36">
        <v>510.0</v>
      </c>
      <c r="G43" s="36">
        <v>968.0</v>
      </c>
      <c r="H43" s="36">
        <v>0.0537190082644628</v>
      </c>
      <c r="I43" s="37" t="b">
        <v>1</v>
      </c>
      <c r="J43" s="12" t="s">
        <v>343</v>
      </c>
      <c r="K43" s="36" t="s">
        <v>340</v>
      </c>
    </row>
    <row r="44">
      <c r="A44" s="12" t="s">
        <v>381</v>
      </c>
      <c r="B44" s="12" t="s">
        <v>171</v>
      </c>
      <c r="C44" s="12" t="s">
        <v>172</v>
      </c>
      <c r="D44" s="36">
        <v>6.0</v>
      </c>
      <c r="E44" s="36">
        <v>3.0</v>
      </c>
      <c r="F44" s="36">
        <v>0.0</v>
      </c>
      <c r="G44" s="36">
        <v>3.0</v>
      </c>
      <c r="H44" s="36">
        <v>1.0</v>
      </c>
      <c r="I44" s="37" t="b">
        <v>0</v>
      </c>
      <c r="J44" s="12" t="s">
        <v>335</v>
      </c>
      <c r="K44" s="36" t="s">
        <v>358</v>
      </c>
    </row>
    <row r="45">
      <c r="A45" s="12" t="s">
        <v>357</v>
      </c>
      <c r="B45" s="12" t="s">
        <v>150</v>
      </c>
      <c r="C45" s="12" t="s">
        <v>151</v>
      </c>
      <c r="D45" s="36">
        <v>6.0</v>
      </c>
      <c r="E45" s="36">
        <v>4.0</v>
      </c>
      <c r="F45" s="36">
        <v>7.0</v>
      </c>
      <c r="G45" s="36">
        <v>11.0</v>
      </c>
      <c r="H45" s="36">
        <v>0.272727272727272</v>
      </c>
      <c r="I45" s="37" t="b">
        <v>1</v>
      </c>
      <c r="J45" s="12" t="s">
        <v>331</v>
      </c>
      <c r="K45" s="36" t="s">
        <v>340</v>
      </c>
    </row>
    <row r="46">
      <c r="A46" s="12" t="s">
        <v>382</v>
      </c>
      <c r="B46" s="12" t="s">
        <v>128</v>
      </c>
      <c r="C46" s="12" t="s">
        <v>129</v>
      </c>
      <c r="D46" s="36">
        <v>6.0</v>
      </c>
      <c r="E46" s="36">
        <v>2.0</v>
      </c>
      <c r="F46" s="36">
        <v>1.0</v>
      </c>
      <c r="G46" s="36">
        <v>3.0</v>
      </c>
      <c r="H46" s="36">
        <v>0.333333333333333</v>
      </c>
      <c r="I46" s="37" t="b">
        <v>0</v>
      </c>
      <c r="J46" s="12" t="s">
        <v>331</v>
      </c>
      <c r="K46" s="36" t="s">
        <v>348</v>
      </c>
    </row>
    <row r="47">
      <c r="A47" s="12" t="s">
        <v>383</v>
      </c>
      <c r="B47" s="12" t="s">
        <v>104</v>
      </c>
      <c r="C47" s="12" t="s">
        <v>105</v>
      </c>
      <c r="D47" s="36">
        <v>6.0</v>
      </c>
      <c r="E47" s="36">
        <v>3.0</v>
      </c>
      <c r="F47" s="36">
        <v>7.0</v>
      </c>
      <c r="G47" s="36">
        <v>10.0</v>
      </c>
      <c r="H47" s="36">
        <v>0.4</v>
      </c>
      <c r="I47" s="37" t="b">
        <v>1</v>
      </c>
      <c r="J47" s="12" t="s">
        <v>331</v>
      </c>
      <c r="K47" s="36" t="s">
        <v>340</v>
      </c>
    </row>
    <row r="48">
      <c r="A48" s="12" t="s">
        <v>357</v>
      </c>
      <c r="B48" s="12" t="s">
        <v>173</v>
      </c>
      <c r="C48" s="12" t="s">
        <v>174</v>
      </c>
      <c r="D48" s="36">
        <v>6.0</v>
      </c>
      <c r="E48" s="36">
        <v>1.0</v>
      </c>
      <c r="F48" s="36">
        <v>9.0</v>
      </c>
      <c r="G48" s="36">
        <v>10.0</v>
      </c>
      <c r="H48" s="36">
        <v>0.8</v>
      </c>
      <c r="I48" s="37" t="b">
        <v>1</v>
      </c>
      <c r="J48" s="12" t="s">
        <v>350</v>
      </c>
      <c r="K48" s="36" t="s">
        <v>340</v>
      </c>
    </row>
    <row r="49">
      <c r="A49" s="12" t="s">
        <v>384</v>
      </c>
      <c r="B49" s="12" t="s">
        <v>113</v>
      </c>
      <c r="C49" s="12" t="s">
        <v>114</v>
      </c>
      <c r="D49" s="36">
        <v>6.0</v>
      </c>
      <c r="E49" s="36">
        <v>2.0</v>
      </c>
      <c r="F49" s="36">
        <v>7.0</v>
      </c>
      <c r="G49" s="36">
        <v>9.0</v>
      </c>
      <c r="H49" s="36">
        <v>0.555555555555555</v>
      </c>
      <c r="I49" s="37" t="b">
        <v>1</v>
      </c>
      <c r="J49" s="12" t="s">
        <v>346</v>
      </c>
      <c r="K49" s="36" t="s">
        <v>336</v>
      </c>
    </row>
    <row r="50">
      <c r="A50" s="12" t="s">
        <v>385</v>
      </c>
      <c r="B50" s="12" t="s">
        <v>245</v>
      </c>
      <c r="C50" s="12" t="s">
        <v>246</v>
      </c>
      <c r="D50" s="36">
        <v>6.0</v>
      </c>
      <c r="E50" s="36">
        <v>7.0</v>
      </c>
      <c r="F50" s="36">
        <v>2.0</v>
      </c>
      <c r="G50" s="36">
        <v>9.0</v>
      </c>
      <c r="H50" s="36">
        <v>0.555555555555555</v>
      </c>
      <c r="I50" s="37" t="b">
        <v>0</v>
      </c>
      <c r="J50" s="12" t="s">
        <v>346</v>
      </c>
      <c r="K50" s="36" t="s">
        <v>340</v>
      </c>
    </row>
    <row r="51">
      <c r="A51" s="12" t="s">
        <v>386</v>
      </c>
      <c r="B51" s="12" t="s">
        <v>235</v>
      </c>
      <c r="C51" s="12" t="s">
        <v>236</v>
      </c>
      <c r="D51" s="36">
        <v>6.0</v>
      </c>
      <c r="E51" s="36">
        <v>9.0</v>
      </c>
      <c r="F51" s="36">
        <v>0.0</v>
      </c>
      <c r="G51" s="36">
        <v>9.0</v>
      </c>
      <c r="H51" s="36">
        <v>1.0</v>
      </c>
      <c r="I51" s="37" t="b">
        <v>0</v>
      </c>
      <c r="J51" s="12" t="s">
        <v>335</v>
      </c>
      <c r="K51" s="36" t="s">
        <v>340</v>
      </c>
    </row>
    <row r="52">
      <c r="A52" s="12" t="s">
        <v>387</v>
      </c>
      <c r="B52" s="12" t="s">
        <v>251</v>
      </c>
      <c r="C52" s="12" t="s">
        <v>252</v>
      </c>
      <c r="D52" s="36">
        <v>6.0</v>
      </c>
      <c r="E52" s="36">
        <v>8.0</v>
      </c>
      <c r="F52" s="36">
        <v>1.0</v>
      </c>
      <c r="G52" s="36">
        <v>9.0</v>
      </c>
      <c r="H52" s="36">
        <v>0.777777777777777</v>
      </c>
      <c r="I52" s="37" t="b">
        <v>0</v>
      </c>
      <c r="J52" s="12" t="s">
        <v>350</v>
      </c>
      <c r="K52" s="36" t="s">
        <v>340</v>
      </c>
    </row>
    <row r="53">
      <c r="A53" s="12" t="s">
        <v>388</v>
      </c>
      <c r="B53" s="12" t="s">
        <v>91</v>
      </c>
      <c r="C53" s="12" t="s">
        <v>92</v>
      </c>
      <c r="D53" s="36">
        <v>6.0</v>
      </c>
      <c r="E53" s="36">
        <v>3.0</v>
      </c>
      <c r="F53" s="36">
        <v>8.0</v>
      </c>
      <c r="G53" s="36">
        <v>11.0</v>
      </c>
      <c r="H53" s="36">
        <v>0.454545454545454</v>
      </c>
      <c r="I53" s="37" t="b">
        <v>1</v>
      </c>
      <c r="J53" s="12" t="s">
        <v>346</v>
      </c>
      <c r="K53" s="36" t="s">
        <v>340</v>
      </c>
    </row>
    <row r="54">
      <c r="A54" s="12" t="s">
        <v>389</v>
      </c>
      <c r="B54" s="12" t="s">
        <v>146</v>
      </c>
      <c r="C54" s="12" t="s">
        <v>147</v>
      </c>
      <c r="D54" s="36">
        <v>6.0</v>
      </c>
      <c r="E54" s="36">
        <v>8.0</v>
      </c>
      <c r="F54" s="36">
        <v>1.0</v>
      </c>
      <c r="G54" s="36">
        <v>9.0</v>
      </c>
      <c r="H54" s="36">
        <v>0.777777777777777</v>
      </c>
      <c r="I54" s="37" t="b">
        <v>0</v>
      </c>
      <c r="J54" s="12" t="s">
        <v>350</v>
      </c>
      <c r="K54" s="36" t="s">
        <v>356</v>
      </c>
    </row>
    <row r="55">
      <c r="A55" s="12" t="s">
        <v>390</v>
      </c>
      <c r="B55" s="12" t="s">
        <v>121</v>
      </c>
      <c r="C55" s="12" t="s">
        <v>122</v>
      </c>
      <c r="D55" s="36">
        <v>6.0</v>
      </c>
      <c r="E55" s="36">
        <v>6.0</v>
      </c>
      <c r="F55" s="36">
        <v>4.0</v>
      </c>
      <c r="G55" s="36">
        <v>10.0</v>
      </c>
      <c r="H55" s="36">
        <v>0.2</v>
      </c>
      <c r="I55" s="37" t="b">
        <v>0</v>
      </c>
      <c r="J55" s="12" t="s">
        <v>343</v>
      </c>
      <c r="K55" s="36" t="s">
        <v>340</v>
      </c>
    </row>
    <row r="56">
      <c r="A56" s="12" t="s">
        <v>391</v>
      </c>
      <c r="B56" s="12" t="s">
        <v>215</v>
      </c>
      <c r="C56" s="12" t="s">
        <v>216</v>
      </c>
      <c r="D56" s="36">
        <v>6.0</v>
      </c>
      <c r="E56" s="36">
        <v>1.0</v>
      </c>
      <c r="F56" s="36">
        <v>8.0</v>
      </c>
      <c r="G56" s="36">
        <v>9.0</v>
      </c>
      <c r="H56" s="36">
        <v>0.777777777777777</v>
      </c>
      <c r="I56" s="37" t="b">
        <v>1</v>
      </c>
      <c r="J56" s="12" t="s">
        <v>350</v>
      </c>
      <c r="K56" s="36" t="s">
        <v>348</v>
      </c>
    </row>
    <row r="57">
      <c r="A57" s="12" t="s">
        <v>384</v>
      </c>
      <c r="B57" s="12" t="s">
        <v>183</v>
      </c>
      <c r="C57" s="12" t="s">
        <v>184</v>
      </c>
      <c r="D57" s="36">
        <v>6.0</v>
      </c>
      <c r="E57" s="36">
        <v>1.0</v>
      </c>
      <c r="F57" s="36">
        <v>2.0</v>
      </c>
      <c r="G57" s="36">
        <v>3.0</v>
      </c>
      <c r="H57" s="36">
        <v>0.333333333333333</v>
      </c>
      <c r="I57" s="37" t="b">
        <v>1</v>
      </c>
      <c r="J57" s="12" t="s">
        <v>331</v>
      </c>
      <c r="K57" s="36" t="s">
        <v>108</v>
      </c>
    </row>
    <row r="58">
      <c r="A58" s="12" t="s">
        <v>392</v>
      </c>
      <c r="B58" s="12" t="s">
        <v>144</v>
      </c>
      <c r="C58" s="12" t="s">
        <v>145</v>
      </c>
      <c r="D58" s="36">
        <v>6.0</v>
      </c>
      <c r="E58" s="36">
        <v>3.0</v>
      </c>
      <c r="F58" s="36">
        <v>7.0</v>
      </c>
      <c r="G58" s="36">
        <v>10.0</v>
      </c>
      <c r="H58" s="36">
        <v>0.4</v>
      </c>
      <c r="I58" s="37" t="b">
        <v>1</v>
      </c>
      <c r="J58" s="12" t="s">
        <v>331</v>
      </c>
      <c r="K58" s="36" t="s">
        <v>340</v>
      </c>
    </row>
    <row r="59">
      <c r="A59" s="12" t="s">
        <v>353</v>
      </c>
      <c r="B59" s="12" t="s">
        <v>273</v>
      </c>
      <c r="C59" s="12" t="s">
        <v>274</v>
      </c>
      <c r="D59" s="36">
        <v>6.0</v>
      </c>
      <c r="E59" s="36">
        <v>4.0</v>
      </c>
      <c r="F59" s="36">
        <v>5.0</v>
      </c>
      <c r="G59" s="36">
        <v>9.0</v>
      </c>
      <c r="H59" s="36">
        <v>0.111111111111111</v>
      </c>
      <c r="I59" s="37" t="b">
        <v>1</v>
      </c>
      <c r="J59" s="12" t="s">
        <v>343</v>
      </c>
      <c r="K59" s="36" t="s">
        <v>340</v>
      </c>
    </row>
    <row r="60">
      <c r="A60" s="12" t="s">
        <v>374</v>
      </c>
      <c r="B60" s="12" t="s">
        <v>115</v>
      </c>
      <c r="C60" s="12" t="s">
        <v>116</v>
      </c>
      <c r="D60" s="36">
        <v>6.0</v>
      </c>
      <c r="E60" s="36">
        <v>2.0</v>
      </c>
      <c r="F60" s="36">
        <v>2.0</v>
      </c>
      <c r="G60" s="36">
        <v>4.0</v>
      </c>
      <c r="H60" s="36">
        <v>0.0</v>
      </c>
      <c r="I60" s="37" t="s">
        <v>342</v>
      </c>
      <c r="J60" s="12" t="s">
        <v>343</v>
      </c>
      <c r="K60" s="36" t="s">
        <v>348</v>
      </c>
    </row>
    <row r="61">
      <c r="A61" s="12" t="s">
        <v>344</v>
      </c>
      <c r="B61" s="12" t="s">
        <v>156</v>
      </c>
      <c r="C61" s="12" t="s">
        <v>157</v>
      </c>
      <c r="D61" s="36">
        <v>6.0</v>
      </c>
      <c r="E61" s="36">
        <v>1.0</v>
      </c>
      <c r="F61" s="36">
        <v>2.0</v>
      </c>
      <c r="G61" s="36">
        <v>3.0</v>
      </c>
      <c r="H61" s="36">
        <v>0.333333333333333</v>
      </c>
      <c r="I61" s="37" t="b">
        <v>1</v>
      </c>
      <c r="J61" s="12" t="s">
        <v>331</v>
      </c>
      <c r="K61" s="36" t="s">
        <v>125</v>
      </c>
    </row>
    <row r="62">
      <c r="A62" s="12" t="s">
        <v>393</v>
      </c>
      <c r="B62" s="12" t="s">
        <v>192</v>
      </c>
      <c r="C62" s="12" t="s">
        <v>193</v>
      </c>
      <c r="D62" s="36">
        <v>6.0</v>
      </c>
      <c r="E62" s="36">
        <v>6.0</v>
      </c>
      <c r="F62" s="36">
        <v>1.0</v>
      </c>
      <c r="G62" s="36">
        <v>7.0</v>
      </c>
      <c r="H62" s="36">
        <v>0.714285714285714</v>
      </c>
      <c r="I62" s="37" t="b">
        <v>0</v>
      </c>
      <c r="J62" s="12" t="s">
        <v>350</v>
      </c>
      <c r="K62" s="36" t="s">
        <v>338</v>
      </c>
    </row>
    <row r="63">
      <c r="A63" s="12" t="s">
        <v>359</v>
      </c>
      <c r="B63" s="12" t="s">
        <v>194</v>
      </c>
      <c r="C63" s="12" t="s">
        <v>195</v>
      </c>
      <c r="D63" s="36">
        <v>6.0</v>
      </c>
      <c r="E63" s="36">
        <v>3.0</v>
      </c>
      <c r="F63" s="36">
        <v>6.0</v>
      </c>
      <c r="G63" s="36">
        <v>9.0</v>
      </c>
      <c r="H63" s="36">
        <v>0.333333333333333</v>
      </c>
      <c r="I63" s="37" t="b">
        <v>1</v>
      </c>
      <c r="J63" s="12" t="s">
        <v>331</v>
      </c>
      <c r="K63" s="36" t="s">
        <v>363</v>
      </c>
    </row>
    <row r="64">
      <c r="A64" s="12" t="s">
        <v>394</v>
      </c>
      <c r="B64" s="12" t="s">
        <v>76</v>
      </c>
      <c r="C64" s="12" t="s">
        <v>77</v>
      </c>
      <c r="D64" s="36">
        <v>6.0</v>
      </c>
      <c r="E64" s="36">
        <v>4.0</v>
      </c>
      <c r="F64" s="36">
        <v>5.0</v>
      </c>
      <c r="G64" s="36">
        <v>9.0</v>
      </c>
      <c r="H64" s="36">
        <v>0.111111111111111</v>
      </c>
      <c r="I64" s="37" t="b">
        <v>1</v>
      </c>
      <c r="J64" s="12" t="s">
        <v>343</v>
      </c>
      <c r="K64" s="36" t="s">
        <v>340</v>
      </c>
    </row>
    <row r="65">
      <c r="A65" s="12" t="s">
        <v>395</v>
      </c>
      <c r="B65" s="12" t="s">
        <v>126</v>
      </c>
      <c r="C65" s="12" t="s">
        <v>127</v>
      </c>
      <c r="D65" s="36">
        <v>6.0</v>
      </c>
      <c r="E65" s="36">
        <v>7.0</v>
      </c>
      <c r="F65" s="36">
        <v>2.0</v>
      </c>
      <c r="G65" s="36">
        <v>9.0</v>
      </c>
      <c r="H65" s="36">
        <v>0.555555555555555</v>
      </c>
      <c r="I65" s="37" t="b">
        <v>0</v>
      </c>
      <c r="J65" s="12" t="s">
        <v>346</v>
      </c>
      <c r="K65" s="36" t="s">
        <v>340</v>
      </c>
    </row>
    <row r="66">
      <c r="A66" s="12" t="s">
        <v>352</v>
      </c>
      <c r="B66" s="12" t="s">
        <v>231</v>
      </c>
      <c r="C66" s="12" t="s">
        <v>232</v>
      </c>
      <c r="D66" s="36">
        <v>6.0</v>
      </c>
      <c r="E66" s="36">
        <v>0.0</v>
      </c>
      <c r="F66" s="36">
        <v>11.0</v>
      </c>
      <c r="G66" s="36">
        <v>11.0</v>
      </c>
      <c r="H66" s="36">
        <v>1.0</v>
      </c>
      <c r="I66" s="37" t="b">
        <v>1</v>
      </c>
      <c r="J66" s="12" t="s">
        <v>335</v>
      </c>
      <c r="K66" s="36" t="s">
        <v>340</v>
      </c>
    </row>
    <row r="67">
      <c r="A67" s="12" t="s">
        <v>396</v>
      </c>
      <c r="B67" s="12" t="s">
        <v>70</v>
      </c>
      <c r="C67" s="12" t="s">
        <v>71</v>
      </c>
      <c r="D67" s="36">
        <v>6.0</v>
      </c>
      <c r="E67" s="36">
        <v>1.0</v>
      </c>
      <c r="F67" s="36">
        <v>9.0</v>
      </c>
      <c r="G67" s="36">
        <v>10.0</v>
      </c>
      <c r="H67" s="36">
        <v>0.8</v>
      </c>
      <c r="I67" s="37" t="b">
        <v>1</v>
      </c>
      <c r="J67" s="12" t="s">
        <v>350</v>
      </c>
      <c r="K67" s="36" t="s">
        <v>340</v>
      </c>
    </row>
    <row r="68">
      <c r="A68" s="12" t="s">
        <v>397</v>
      </c>
      <c r="B68" s="12" t="s">
        <v>188</v>
      </c>
      <c r="C68" s="12" t="s">
        <v>189</v>
      </c>
      <c r="D68" s="36">
        <v>6.0</v>
      </c>
      <c r="E68" s="36">
        <v>1.0</v>
      </c>
      <c r="F68" s="36">
        <v>10.0</v>
      </c>
      <c r="G68" s="36">
        <v>11.0</v>
      </c>
      <c r="H68" s="36">
        <v>0.818181818181818</v>
      </c>
      <c r="I68" s="37" t="b">
        <v>1</v>
      </c>
      <c r="J68" s="12" t="s">
        <v>335</v>
      </c>
      <c r="K68" s="36" t="s">
        <v>340</v>
      </c>
    </row>
    <row r="69">
      <c r="A69" s="12" t="s">
        <v>345</v>
      </c>
      <c r="B69" s="12" t="s">
        <v>106</v>
      </c>
      <c r="C69" s="12" t="s">
        <v>107</v>
      </c>
      <c r="D69" s="36">
        <v>6.0</v>
      </c>
      <c r="E69" s="36">
        <v>5.0</v>
      </c>
      <c r="F69" s="36">
        <v>4.0</v>
      </c>
      <c r="G69" s="36">
        <v>9.0</v>
      </c>
      <c r="H69" s="36">
        <v>0.111111111111111</v>
      </c>
      <c r="I69" s="37" t="b">
        <v>0</v>
      </c>
      <c r="J69" s="12" t="s">
        <v>343</v>
      </c>
      <c r="K69" s="36" t="s">
        <v>340</v>
      </c>
    </row>
    <row r="70">
      <c r="A70" s="12" t="s">
        <v>398</v>
      </c>
      <c r="B70" s="12" t="s">
        <v>87</v>
      </c>
      <c r="C70" s="12" t="s">
        <v>88</v>
      </c>
      <c r="D70" s="36">
        <v>6.0</v>
      </c>
      <c r="E70" s="36">
        <v>3.0</v>
      </c>
      <c r="F70" s="36">
        <v>7.0</v>
      </c>
      <c r="G70" s="36">
        <v>10.0</v>
      </c>
      <c r="H70" s="36">
        <v>0.4</v>
      </c>
      <c r="I70" s="37" t="b">
        <v>1</v>
      </c>
      <c r="J70" s="12" t="s">
        <v>331</v>
      </c>
      <c r="K70" s="36" t="s">
        <v>340</v>
      </c>
    </row>
    <row r="71">
      <c r="A71" s="12" t="s">
        <v>380</v>
      </c>
      <c r="B71" s="12" t="s">
        <v>211</v>
      </c>
      <c r="C71" s="12" t="s">
        <v>212</v>
      </c>
      <c r="D71" s="36">
        <v>6.0</v>
      </c>
      <c r="E71" s="36">
        <v>9.0</v>
      </c>
      <c r="F71" s="36">
        <v>0.0</v>
      </c>
      <c r="G71" s="36">
        <v>9.0</v>
      </c>
      <c r="H71" s="36">
        <v>1.0</v>
      </c>
      <c r="I71" s="37" t="b">
        <v>0</v>
      </c>
      <c r="J71" s="12" t="s">
        <v>335</v>
      </c>
      <c r="K71" s="36" t="s">
        <v>340</v>
      </c>
    </row>
    <row r="72">
      <c r="A72" s="12" t="s">
        <v>399</v>
      </c>
      <c r="B72" s="12" t="s">
        <v>209</v>
      </c>
      <c r="C72" s="12" t="s">
        <v>210</v>
      </c>
      <c r="D72" s="36">
        <v>6.0</v>
      </c>
      <c r="E72" s="36">
        <v>3.0</v>
      </c>
      <c r="F72" s="36">
        <v>1.0</v>
      </c>
      <c r="G72" s="36">
        <v>4.0</v>
      </c>
      <c r="H72" s="36">
        <v>0.5</v>
      </c>
      <c r="I72" s="37" t="b">
        <v>0</v>
      </c>
      <c r="J72" s="12" t="s">
        <v>346</v>
      </c>
      <c r="K72" s="36" t="s">
        <v>125</v>
      </c>
    </row>
    <row r="73">
      <c r="A73" s="12" t="s">
        <v>400</v>
      </c>
      <c r="B73" s="12" t="s">
        <v>119</v>
      </c>
      <c r="C73" s="12" t="s">
        <v>120</v>
      </c>
      <c r="D73" s="36">
        <v>6.0</v>
      </c>
      <c r="E73" s="36">
        <v>2.0</v>
      </c>
      <c r="F73" s="36">
        <v>7.0</v>
      </c>
      <c r="G73" s="36">
        <v>9.0</v>
      </c>
      <c r="H73" s="36">
        <v>0.555555555555555</v>
      </c>
      <c r="I73" s="37" t="b">
        <v>1</v>
      </c>
      <c r="J73" s="12" t="s">
        <v>346</v>
      </c>
      <c r="K73" s="36" t="s">
        <v>348</v>
      </c>
    </row>
    <row r="74">
      <c r="A74" s="12" t="s">
        <v>401</v>
      </c>
      <c r="B74" s="12" t="s">
        <v>247</v>
      </c>
      <c r="C74" s="12" t="s">
        <v>248</v>
      </c>
      <c r="D74" s="36">
        <v>6.0</v>
      </c>
      <c r="E74" s="36">
        <v>1.0</v>
      </c>
      <c r="F74" s="36">
        <v>9.0</v>
      </c>
      <c r="G74" s="36">
        <v>10.0</v>
      </c>
      <c r="H74" s="36">
        <v>0.8</v>
      </c>
      <c r="I74" s="37" t="b">
        <v>1</v>
      </c>
      <c r="J74" s="12" t="s">
        <v>350</v>
      </c>
      <c r="K74" s="36" t="s">
        <v>340</v>
      </c>
    </row>
    <row r="75">
      <c r="A75" s="12" t="s">
        <v>402</v>
      </c>
      <c r="B75" s="12" t="s">
        <v>181</v>
      </c>
      <c r="C75" s="12" t="s">
        <v>182</v>
      </c>
      <c r="D75" s="36">
        <v>6.0</v>
      </c>
      <c r="E75" s="36">
        <v>9.0</v>
      </c>
      <c r="F75" s="36">
        <v>0.0</v>
      </c>
      <c r="G75" s="36">
        <v>9.0</v>
      </c>
      <c r="H75" s="36">
        <v>1.0</v>
      </c>
      <c r="I75" s="37" t="b">
        <v>0</v>
      </c>
      <c r="J75" s="12" t="s">
        <v>335</v>
      </c>
      <c r="K75" s="36" t="s">
        <v>340</v>
      </c>
    </row>
    <row r="76">
      <c r="A76" s="12" t="s">
        <v>344</v>
      </c>
      <c r="B76" s="12" t="s">
        <v>259</v>
      </c>
      <c r="C76" s="12" t="s">
        <v>260</v>
      </c>
      <c r="D76" s="36">
        <v>6.0</v>
      </c>
      <c r="E76" s="36">
        <v>2.0</v>
      </c>
      <c r="F76" s="36">
        <v>8.0</v>
      </c>
      <c r="G76" s="36">
        <v>10.0</v>
      </c>
      <c r="H76" s="36">
        <v>0.6</v>
      </c>
      <c r="I76" s="37" t="b">
        <v>1</v>
      </c>
      <c r="J76" s="12" t="s">
        <v>346</v>
      </c>
      <c r="K76" s="36" t="s">
        <v>340</v>
      </c>
    </row>
    <row r="77">
      <c r="A77" s="12" t="s">
        <v>373</v>
      </c>
      <c r="B77" s="12" t="s">
        <v>241</v>
      </c>
      <c r="C77" s="12" t="s">
        <v>242</v>
      </c>
      <c r="D77" s="36">
        <v>6.0</v>
      </c>
      <c r="E77" s="36">
        <v>6.0</v>
      </c>
      <c r="F77" s="36">
        <v>3.0</v>
      </c>
      <c r="G77" s="36">
        <v>9.0</v>
      </c>
      <c r="H77" s="36">
        <v>0.333333333333333</v>
      </c>
      <c r="I77" s="37" t="b">
        <v>0</v>
      </c>
      <c r="J77" s="12" t="s">
        <v>331</v>
      </c>
      <c r="K77" s="36" t="s">
        <v>340</v>
      </c>
    </row>
    <row r="78">
      <c r="A78" s="12" t="s">
        <v>403</v>
      </c>
      <c r="B78" s="12" t="s">
        <v>204</v>
      </c>
      <c r="C78" s="12" t="s">
        <v>205</v>
      </c>
      <c r="D78" s="36">
        <v>6.0</v>
      </c>
      <c r="E78" s="36">
        <v>4.0</v>
      </c>
      <c r="F78" s="36">
        <v>5.0</v>
      </c>
      <c r="G78" s="36">
        <v>9.0</v>
      </c>
      <c r="H78" s="36">
        <v>0.111111111111111</v>
      </c>
      <c r="I78" s="37" t="b">
        <v>1</v>
      </c>
      <c r="J78" s="12" t="s">
        <v>343</v>
      </c>
      <c r="K78" s="36" t="s">
        <v>333</v>
      </c>
    </row>
    <row r="79">
      <c r="A79" s="12" t="s">
        <v>404</v>
      </c>
      <c r="B79" s="12" t="s">
        <v>219</v>
      </c>
      <c r="C79" s="12" t="s">
        <v>220</v>
      </c>
      <c r="D79" s="36">
        <v>6.0</v>
      </c>
      <c r="E79" s="36">
        <v>0.0</v>
      </c>
      <c r="F79" s="36">
        <v>11.0</v>
      </c>
      <c r="G79" s="36">
        <v>11.0</v>
      </c>
      <c r="H79" s="36">
        <v>1.0</v>
      </c>
      <c r="I79" s="37" t="b">
        <v>1</v>
      </c>
      <c r="J79" s="12" t="s">
        <v>335</v>
      </c>
      <c r="K79" s="36" t="s">
        <v>340</v>
      </c>
    </row>
    <row r="80">
      <c r="A80" s="12" t="s">
        <v>364</v>
      </c>
      <c r="B80" s="12" t="s">
        <v>267</v>
      </c>
      <c r="C80" s="12" t="s">
        <v>268</v>
      </c>
      <c r="D80" s="36">
        <v>6.0</v>
      </c>
      <c r="E80" s="36">
        <v>9.0</v>
      </c>
      <c r="F80" s="36">
        <v>0.0</v>
      </c>
      <c r="G80" s="36">
        <v>9.0</v>
      </c>
      <c r="H80" s="36">
        <v>1.0</v>
      </c>
      <c r="I80" s="37" t="b">
        <v>0</v>
      </c>
      <c r="J80" s="12" t="s">
        <v>335</v>
      </c>
      <c r="K80" s="36" t="s">
        <v>340</v>
      </c>
    </row>
    <row r="81">
      <c r="A81" s="12" t="s">
        <v>405</v>
      </c>
      <c r="B81" s="12" t="s">
        <v>123</v>
      </c>
      <c r="C81" s="12" t="s">
        <v>124</v>
      </c>
      <c r="D81" s="36">
        <v>6.0</v>
      </c>
      <c r="E81" s="36">
        <v>1.0</v>
      </c>
      <c r="F81" s="36">
        <v>3.0</v>
      </c>
      <c r="G81" s="36">
        <v>4.0</v>
      </c>
      <c r="H81" s="36">
        <v>0.5</v>
      </c>
      <c r="I81" s="37" t="b">
        <v>1</v>
      </c>
      <c r="J81" s="12" t="s">
        <v>346</v>
      </c>
      <c r="K81" s="36" t="s">
        <v>108</v>
      </c>
    </row>
    <row r="82">
      <c r="A82" s="12" t="s">
        <v>406</v>
      </c>
      <c r="B82" s="12" t="s">
        <v>83</v>
      </c>
      <c r="C82" s="12" t="s">
        <v>84</v>
      </c>
      <c r="D82" s="36">
        <v>6.0</v>
      </c>
      <c r="E82" s="36">
        <v>4.0</v>
      </c>
      <c r="F82" s="36">
        <v>11.0</v>
      </c>
      <c r="G82" s="36">
        <v>15.0</v>
      </c>
      <c r="H82" s="36">
        <v>0.466666666666666</v>
      </c>
      <c r="I82" s="37" t="b">
        <v>1</v>
      </c>
      <c r="J82" s="12" t="s">
        <v>346</v>
      </c>
      <c r="K82" s="36" t="s">
        <v>340</v>
      </c>
    </row>
    <row r="83">
      <c r="A83" s="12" t="s">
        <v>353</v>
      </c>
      <c r="B83" s="12" t="s">
        <v>130</v>
      </c>
      <c r="C83" s="12" t="s">
        <v>131</v>
      </c>
      <c r="D83" s="36">
        <v>6.0</v>
      </c>
      <c r="E83" s="36">
        <v>6.0</v>
      </c>
      <c r="F83" s="36">
        <v>4.0</v>
      </c>
      <c r="G83" s="36">
        <v>10.0</v>
      </c>
      <c r="H83" s="36">
        <v>0.2</v>
      </c>
      <c r="I83" s="37" t="b">
        <v>0</v>
      </c>
      <c r="J83" s="12" t="s">
        <v>343</v>
      </c>
      <c r="K83" s="36" t="s">
        <v>340</v>
      </c>
    </row>
    <row r="84">
      <c r="A84" s="12" t="s">
        <v>407</v>
      </c>
      <c r="B84" s="12" t="s">
        <v>175</v>
      </c>
      <c r="C84" s="12" t="s">
        <v>176</v>
      </c>
      <c r="D84" s="36">
        <v>6.0</v>
      </c>
      <c r="E84" s="36">
        <v>1.0</v>
      </c>
      <c r="F84" s="36">
        <v>3.0</v>
      </c>
      <c r="G84" s="36">
        <v>4.0</v>
      </c>
      <c r="H84" s="36">
        <v>0.5</v>
      </c>
      <c r="I84" s="37" t="b">
        <v>1</v>
      </c>
      <c r="J84" s="12" t="s">
        <v>346</v>
      </c>
      <c r="K84" s="36" t="s">
        <v>358</v>
      </c>
    </row>
    <row r="85">
      <c r="A85" s="12" t="s">
        <v>408</v>
      </c>
      <c r="B85" s="12" t="s">
        <v>200</v>
      </c>
      <c r="C85" s="12" t="s">
        <v>201</v>
      </c>
      <c r="D85" s="36">
        <v>6.0</v>
      </c>
      <c r="E85" s="36">
        <v>1.0</v>
      </c>
      <c r="F85" s="36">
        <v>3.0</v>
      </c>
      <c r="G85" s="36">
        <v>4.0</v>
      </c>
      <c r="H85" s="36">
        <v>0.5</v>
      </c>
      <c r="I85" s="37" t="b">
        <v>1</v>
      </c>
      <c r="J85" s="12" t="s">
        <v>346</v>
      </c>
      <c r="K85" s="36" t="s">
        <v>338</v>
      </c>
    </row>
    <row r="86">
      <c r="A86" s="12" t="s">
        <v>409</v>
      </c>
      <c r="B86" s="12" t="s">
        <v>261</v>
      </c>
      <c r="C86" s="12" t="s">
        <v>262</v>
      </c>
      <c r="D86" s="36">
        <v>6.0</v>
      </c>
      <c r="E86" s="36">
        <v>4.0</v>
      </c>
      <c r="F86" s="36">
        <v>7.0</v>
      </c>
      <c r="G86" s="36">
        <v>11.0</v>
      </c>
      <c r="H86" s="36">
        <v>0.272727272727272</v>
      </c>
      <c r="I86" s="37" t="b">
        <v>1</v>
      </c>
      <c r="J86" s="12" t="s">
        <v>331</v>
      </c>
      <c r="K86" s="36" t="s">
        <v>340</v>
      </c>
    </row>
    <row r="87">
      <c r="A87" s="12" t="s">
        <v>410</v>
      </c>
      <c r="B87" s="12" t="s">
        <v>169</v>
      </c>
      <c r="C87" s="12" t="s">
        <v>170</v>
      </c>
      <c r="D87" s="36">
        <v>6.0</v>
      </c>
      <c r="E87" s="36">
        <v>4.0</v>
      </c>
      <c r="F87" s="36">
        <v>6.0</v>
      </c>
      <c r="G87" s="36">
        <v>10.0</v>
      </c>
      <c r="H87" s="36">
        <v>0.2</v>
      </c>
      <c r="I87" s="37" t="b">
        <v>1</v>
      </c>
      <c r="J87" s="12" t="s">
        <v>343</v>
      </c>
      <c r="K87" s="36" t="s">
        <v>340</v>
      </c>
    </row>
    <row r="88">
      <c r="A88" s="12" t="s">
        <v>411</v>
      </c>
      <c r="B88" s="12" t="s">
        <v>109</v>
      </c>
      <c r="C88" s="12" t="s">
        <v>110</v>
      </c>
      <c r="D88" s="36">
        <v>6.0</v>
      </c>
      <c r="E88" s="36">
        <v>1.0</v>
      </c>
      <c r="F88" s="36">
        <v>3.0</v>
      </c>
      <c r="G88" s="36">
        <v>4.0</v>
      </c>
      <c r="H88" s="36">
        <v>0.5</v>
      </c>
      <c r="I88" s="37" t="b">
        <v>1</v>
      </c>
      <c r="J88" s="12" t="s">
        <v>346</v>
      </c>
      <c r="K88" s="36" t="s">
        <v>108</v>
      </c>
    </row>
    <row r="89">
      <c r="A89" s="12" t="s">
        <v>384</v>
      </c>
      <c r="B89" s="12" t="s">
        <v>140</v>
      </c>
      <c r="C89" s="12" t="s">
        <v>141</v>
      </c>
      <c r="D89" s="36">
        <v>6.0</v>
      </c>
      <c r="E89" s="36">
        <v>1.0</v>
      </c>
      <c r="F89" s="36">
        <v>3.0</v>
      </c>
      <c r="G89" s="36">
        <v>4.0</v>
      </c>
      <c r="H89" s="36">
        <v>0.5</v>
      </c>
      <c r="I89" s="37" t="b">
        <v>1</v>
      </c>
      <c r="J89" s="12" t="s">
        <v>346</v>
      </c>
      <c r="K89" s="36" t="s">
        <v>338</v>
      </c>
    </row>
    <row r="90">
      <c r="A90" s="12" t="s">
        <v>412</v>
      </c>
      <c r="B90" s="12" t="s">
        <v>165</v>
      </c>
      <c r="C90" s="12" t="s">
        <v>166</v>
      </c>
      <c r="D90" s="36">
        <v>6.0</v>
      </c>
      <c r="E90" s="36">
        <v>1.0</v>
      </c>
      <c r="F90" s="36">
        <v>6.0</v>
      </c>
      <c r="G90" s="36">
        <v>7.0</v>
      </c>
      <c r="H90" s="36">
        <v>0.714285714285714</v>
      </c>
      <c r="I90" s="37" t="b">
        <v>1</v>
      </c>
      <c r="J90" s="12" t="s">
        <v>350</v>
      </c>
      <c r="K90" s="36" t="s">
        <v>125</v>
      </c>
    </row>
    <row r="91">
      <c r="A91" s="12" t="s">
        <v>359</v>
      </c>
      <c r="B91" s="12" t="s">
        <v>243</v>
      </c>
      <c r="C91" s="12" t="s">
        <v>244</v>
      </c>
      <c r="D91" s="36">
        <v>6.0</v>
      </c>
      <c r="E91" s="36">
        <v>3.0</v>
      </c>
      <c r="F91" s="36">
        <v>1.0</v>
      </c>
      <c r="G91" s="36">
        <v>4.0</v>
      </c>
      <c r="H91" s="36">
        <v>0.5</v>
      </c>
      <c r="I91" s="37" t="b">
        <v>0</v>
      </c>
      <c r="J91" s="12" t="s">
        <v>346</v>
      </c>
      <c r="K91" s="36" t="s">
        <v>336</v>
      </c>
    </row>
    <row r="92">
      <c r="A92" s="12" t="s">
        <v>386</v>
      </c>
      <c r="B92" s="12" t="s">
        <v>79</v>
      </c>
      <c r="C92" s="12" t="s">
        <v>80</v>
      </c>
      <c r="D92" s="36">
        <v>6.0</v>
      </c>
      <c r="E92" s="36">
        <v>3.0</v>
      </c>
      <c r="F92" s="36">
        <v>0.0</v>
      </c>
      <c r="G92" s="36">
        <v>3.0</v>
      </c>
      <c r="H92" s="36">
        <v>1.0</v>
      </c>
      <c r="I92" s="37" t="b">
        <v>0</v>
      </c>
      <c r="J92" s="12" t="s">
        <v>335</v>
      </c>
      <c r="K92" s="36" t="s">
        <v>363</v>
      </c>
    </row>
    <row r="93">
      <c r="A93" s="12" t="s">
        <v>401</v>
      </c>
      <c r="B93" s="12" t="s">
        <v>227</v>
      </c>
      <c r="C93" s="12" t="s">
        <v>228</v>
      </c>
      <c r="D93" s="36">
        <v>6.0</v>
      </c>
      <c r="E93" s="36">
        <v>0.0</v>
      </c>
      <c r="F93" s="36">
        <v>9.0</v>
      </c>
      <c r="G93" s="36">
        <v>9.0</v>
      </c>
      <c r="H93" s="36">
        <v>1.0</v>
      </c>
      <c r="I93" s="37" t="b">
        <v>1</v>
      </c>
      <c r="J93" s="12" t="s">
        <v>335</v>
      </c>
      <c r="K93" s="36" t="s">
        <v>363</v>
      </c>
    </row>
    <row r="94">
      <c r="A94" s="12" t="s">
        <v>344</v>
      </c>
      <c r="B94" s="12" t="s">
        <v>117</v>
      </c>
      <c r="C94" s="12" t="s">
        <v>118</v>
      </c>
      <c r="D94" s="36">
        <v>6.0</v>
      </c>
      <c r="E94" s="36">
        <v>7.0</v>
      </c>
      <c r="F94" s="36">
        <v>5.0</v>
      </c>
      <c r="G94" s="36">
        <v>12.0</v>
      </c>
      <c r="H94" s="36">
        <v>0.166666666666666</v>
      </c>
      <c r="I94" s="37" t="b">
        <v>0</v>
      </c>
      <c r="J94" s="12" t="s">
        <v>343</v>
      </c>
      <c r="K94" s="36" t="s">
        <v>340</v>
      </c>
    </row>
    <row r="95">
      <c r="A95" s="12" t="s">
        <v>374</v>
      </c>
      <c r="B95" s="12" t="s">
        <v>233</v>
      </c>
      <c r="C95" s="12" t="s">
        <v>234</v>
      </c>
      <c r="D95" s="36">
        <v>6.0</v>
      </c>
      <c r="E95" s="36">
        <v>5.0</v>
      </c>
      <c r="F95" s="36">
        <v>1.0</v>
      </c>
      <c r="G95" s="36">
        <v>6.0</v>
      </c>
      <c r="H95" s="36">
        <v>0.666666666666666</v>
      </c>
      <c r="I95" s="37" t="b">
        <v>0</v>
      </c>
      <c r="J95" s="12" t="s">
        <v>350</v>
      </c>
      <c r="K95" s="36" t="s">
        <v>125</v>
      </c>
    </row>
    <row r="96">
      <c r="A96" s="12" t="s">
        <v>413</v>
      </c>
      <c r="B96" s="12" t="s">
        <v>186</v>
      </c>
      <c r="C96" s="12" t="s">
        <v>187</v>
      </c>
      <c r="D96" s="36">
        <v>6.0</v>
      </c>
      <c r="E96" s="36">
        <v>8.0</v>
      </c>
      <c r="F96" s="36">
        <v>1.0</v>
      </c>
      <c r="G96" s="36">
        <v>9.0</v>
      </c>
      <c r="H96" s="36">
        <v>0.777777777777777</v>
      </c>
      <c r="I96" s="37" t="b">
        <v>0</v>
      </c>
      <c r="J96" s="12" t="s">
        <v>350</v>
      </c>
      <c r="K96" s="36" t="s">
        <v>340</v>
      </c>
    </row>
    <row r="97">
      <c r="A97" s="12" t="s">
        <v>357</v>
      </c>
      <c r="B97" s="12" t="s">
        <v>223</v>
      </c>
      <c r="C97" s="12" t="s">
        <v>224</v>
      </c>
      <c r="D97" s="36">
        <v>6.0</v>
      </c>
      <c r="E97" s="36">
        <v>2.0</v>
      </c>
      <c r="F97" s="36">
        <v>1.0</v>
      </c>
      <c r="G97" s="36">
        <v>3.0</v>
      </c>
      <c r="H97" s="36">
        <v>0.333333333333333</v>
      </c>
      <c r="I97" s="37" t="b">
        <v>0</v>
      </c>
      <c r="J97" s="12" t="s">
        <v>331</v>
      </c>
      <c r="K97" s="36" t="s">
        <v>338</v>
      </c>
    </row>
    <row r="98">
      <c r="A98" s="12" t="s">
        <v>413</v>
      </c>
      <c r="B98" s="12" t="s">
        <v>213</v>
      </c>
      <c r="C98" s="12" t="s">
        <v>214</v>
      </c>
      <c r="D98" s="36">
        <v>6.0</v>
      </c>
      <c r="E98" s="36">
        <v>6.0</v>
      </c>
      <c r="F98" s="36">
        <v>3.0</v>
      </c>
      <c r="G98" s="36">
        <v>9.0</v>
      </c>
      <c r="H98" s="36">
        <v>0.333333333333333</v>
      </c>
      <c r="I98" s="37" t="b">
        <v>0</v>
      </c>
      <c r="J98" s="12" t="s">
        <v>331</v>
      </c>
      <c r="K98" s="36" t="s">
        <v>340</v>
      </c>
    </row>
    <row r="99">
      <c r="A99" s="12" t="s">
        <v>353</v>
      </c>
      <c r="B99" s="12" t="s">
        <v>229</v>
      </c>
      <c r="C99" s="12" t="s">
        <v>230</v>
      </c>
      <c r="D99" s="36">
        <v>6.0</v>
      </c>
      <c r="E99" s="36">
        <v>7.0</v>
      </c>
      <c r="F99" s="36">
        <v>3.0</v>
      </c>
      <c r="G99" s="36">
        <v>10.0</v>
      </c>
      <c r="H99" s="36">
        <v>0.4</v>
      </c>
      <c r="I99" s="37" t="b">
        <v>0</v>
      </c>
      <c r="J99" s="12" t="s">
        <v>331</v>
      </c>
      <c r="K99" s="36" t="s">
        <v>340</v>
      </c>
    </row>
    <row r="100">
      <c r="A100" s="12" t="s">
        <v>353</v>
      </c>
      <c r="B100" s="12" t="s">
        <v>136</v>
      </c>
      <c r="C100" s="12" t="s">
        <v>137</v>
      </c>
      <c r="D100" s="36">
        <v>6.0</v>
      </c>
      <c r="E100" s="36">
        <v>7.0</v>
      </c>
      <c r="F100" s="36">
        <v>2.0</v>
      </c>
      <c r="G100" s="36">
        <v>9.0</v>
      </c>
      <c r="H100" s="36">
        <v>0.555555555555555</v>
      </c>
      <c r="I100" s="37" t="b">
        <v>0</v>
      </c>
      <c r="J100" s="12" t="s">
        <v>346</v>
      </c>
      <c r="K100" s="36" t="s">
        <v>340</v>
      </c>
    </row>
    <row r="101">
      <c r="A101" s="12" t="s">
        <v>414</v>
      </c>
      <c r="B101" s="12" t="s">
        <v>85</v>
      </c>
      <c r="C101" s="12" t="s">
        <v>86</v>
      </c>
      <c r="D101" s="36">
        <v>6.0</v>
      </c>
      <c r="E101" s="36">
        <v>8.0</v>
      </c>
      <c r="F101" s="36">
        <v>1.0</v>
      </c>
      <c r="G101" s="36">
        <v>9.0</v>
      </c>
      <c r="H101" s="36">
        <v>0.777777777777777</v>
      </c>
      <c r="I101" s="37" t="b">
        <v>0</v>
      </c>
      <c r="J101" s="12" t="s">
        <v>350</v>
      </c>
      <c r="K101" s="36" t="s">
        <v>340</v>
      </c>
    </row>
  </sheetData>
  <autoFilter ref="$A$1:$K$101"/>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sheetViews>
  <sheetFormatPr customHeight="1" defaultColWidth="12.63" defaultRowHeight="15.75"/>
  <cols>
    <col customWidth="1" min="2" max="2" width="53.13"/>
    <col customWidth="1" min="3" max="3" width="21.75"/>
    <col customWidth="1" min="6" max="6" width="14.38"/>
    <col customWidth="1" min="8" max="8" width="12.75"/>
    <col customWidth="1" hidden="1" min="10" max="10" width="7.5"/>
    <col customWidth="1" hidden="1" min="11" max="11" width="7.75"/>
    <col customWidth="1" hidden="1" min="12" max="12" width="7.25"/>
    <col customWidth="1" hidden="1" min="13" max="13" width="6.25"/>
    <col customWidth="1" hidden="1" min="14" max="14" width="8.38"/>
    <col customWidth="1" hidden="1" min="15" max="15" width="23.88"/>
    <col customWidth="1" min="16" max="16" width="39.75"/>
  </cols>
  <sheetData>
    <row r="1">
      <c r="A1" s="23" t="s">
        <v>66</v>
      </c>
      <c r="B1" s="24" t="s">
        <v>67</v>
      </c>
      <c r="C1" s="38" t="s">
        <v>415</v>
      </c>
      <c r="D1" s="39" t="s">
        <v>39</v>
      </c>
      <c r="E1" s="38" t="s">
        <v>40</v>
      </c>
      <c r="F1" s="38" t="s">
        <v>41</v>
      </c>
      <c r="G1" s="38" t="s">
        <v>42</v>
      </c>
      <c r="H1" s="39" t="s">
        <v>43</v>
      </c>
      <c r="I1" s="40" t="s">
        <v>416</v>
      </c>
      <c r="J1" s="39" t="s">
        <v>39</v>
      </c>
      <c r="K1" s="38" t="s">
        <v>40</v>
      </c>
      <c r="L1" s="38" t="s">
        <v>41</v>
      </c>
      <c r="M1" s="38" t="s">
        <v>42</v>
      </c>
      <c r="N1" s="39" t="s">
        <v>43</v>
      </c>
      <c r="O1" s="40" t="s">
        <v>417</v>
      </c>
      <c r="P1" s="40" t="str">
        <f t="array" ref="P1:P101">O:O</f>
        <v>Comments</v>
      </c>
      <c r="Q1" s="41" t="s">
        <v>418</v>
      </c>
      <c r="R1" s="18" t="s">
        <v>419</v>
      </c>
      <c r="S1" s="18" t="s">
        <v>420</v>
      </c>
    </row>
    <row r="2">
      <c r="A2" s="12" t="s">
        <v>163</v>
      </c>
      <c r="B2" s="12" t="s">
        <v>164</v>
      </c>
      <c r="C2" s="42"/>
      <c r="D2" s="42" t="b">
        <f t="shared" ref="D2:H2" si="1">VLOOKUP($A2, INDIRECT(D$1&amp;"!A:C"), 3, FALSE)</f>
        <v>0</v>
      </c>
      <c r="E2" s="42" t="b">
        <f t="shared" si="1"/>
        <v>0</v>
      </c>
      <c r="F2" s="42" t="str">
        <f t="shared" si="1"/>
        <v>TO DO</v>
      </c>
      <c r="G2" s="42" t="b">
        <f t="shared" si="1"/>
        <v>0</v>
      </c>
      <c r="H2" s="42" t="b">
        <f t="shared" si="1"/>
        <v>0</v>
      </c>
      <c r="I2" s="43">
        <f t="shared" ref="I2:I101" si="4">ABS((COUNTIF(D2:H2,"TRUE")-COUNTIF(D2:H2, "FALSE")) / (COUNTA(D2:H2)-COUNTIF(D2:H2, "TO DO")))</f>
        <v>1</v>
      </c>
      <c r="J2" s="44" t="str">
        <f t="shared" ref="J2:N2" si="2">VLOOKUP($A2, INDIRECT(J$1&amp;"!A:D"), 4, FALSE)</f>
        <v/>
      </c>
      <c r="K2" s="44" t="str">
        <f t="shared" si="2"/>
        <v>ecosystem and climate could be related to water supply. But this is very vauge in the passage.</v>
      </c>
      <c r="L2" s="44" t="str">
        <f t="shared" si="2"/>
        <v/>
      </c>
      <c r="M2" s="44" t="str">
        <f t="shared" si="2"/>
        <v/>
      </c>
      <c r="N2" s="44" t="str">
        <f t="shared" si="2"/>
        <v>not clear what type of ecosystems</v>
      </c>
      <c r="O2" s="43" t="str">
        <f>IFERROR(__xludf.DUMMYFUNCTION("IF(COUNTA(J2:N2)=0, """", ARRAYFORMULA(""- ""&amp;TEXTJOIN(char(10)&amp;""- "", TRUE, FILTER(J$1:N$1&amp;"": ""&amp;J2:N2, NOT(ISBLANK(J2:N2))))))"),"- Gib: ecosystem and climate could be related to water supply. But this is very vauge in the passage.
- Steve: not clear what type of ecosystems")</f>
        <v>- Gib: ecosystem and climate could be related to water supply. But this is very vauge in the passage.
- Steve: not clear what type of ecosystems</v>
      </c>
      <c r="P2" s="43" t="s">
        <v>421</v>
      </c>
      <c r="Q2" s="45" t="b">
        <v>0</v>
      </c>
    </row>
    <row r="3">
      <c r="A3" s="12" t="s">
        <v>152</v>
      </c>
      <c r="B3" s="12" t="s">
        <v>153</v>
      </c>
      <c r="C3" s="7" t="s">
        <v>422</v>
      </c>
      <c r="D3" s="42" t="b">
        <f t="shared" ref="D3:H3" si="3">VLOOKUP($A3, INDIRECT(D$1&amp;"!A:C"), 3, FALSE)</f>
        <v>1</v>
      </c>
      <c r="E3" s="42" t="b">
        <f t="shared" si="3"/>
        <v>1</v>
      </c>
      <c r="F3" s="42" t="str">
        <f t="shared" si="3"/>
        <v>TO DO</v>
      </c>
      <c r="G3" s="42" t="b">
        <f t="shared" si="3"/>
        <v>0</v>
      </c>
      <c r="H3" s="42" t="b">
        <f t="shared" si="3"/>
        <v>1</v>
      </c>
      <c r="I3" s="43">
        <f t="shared" si="4"/>
        <v>0.5</v>
      </c>
      <c r="J3" s="44" t="str">
        <f t="shared" ref="J3:N3" si="5">VLOOKUP($A3, INDIRECT(J$1&amp;"!A:D"), 4, FALSE)</f>
        <v/>
      </c>
      <c r="K3" s="44" t="str">
        <f t="shared" si="5"/>
        <v>Weakly SDG 6: SDG 6 is not the main theme. Water projects are used as an example. </v>
      </c>
      <c r="L3" s="44" t="str">
        <f t="shared" si="5"/>
        <v/>
      </c>
      <c r="M3" s="44" t="str">
        <f t="shared" si="5"/>
        <v/>
      </c>
      <c r="N3" s="44" t="str">
        <f t="shared" si="5"/>
        <v/>
      </c>
      <c r="O3" s="43" t="str">
        <f>IFERROR(__xludf.DUMMYFUNCTION("IF(COUNTA(J3:N3)=0, """", ARRAYFORMULA(""- ""&amp;TEXTJOIN(char(10)&amp;""- "", TRUE, FILTER(J$1:N$1&amp;"": ""&amp;J3:N3, NOT(ISBLANK(J3:N3))))))"),"- Gib: Weakly SDG 6: SDG 6 is not the main theme. Water projects are used as an example. ")</f>
        <v>- Gib: Weakly SDG 6: SDG 6 is not the main theme. Water projects are used as an example. </v>
      </c>
      <c r="P3" s="43" t="s">
        <v>423</v>
      </c>
      <c r="Q3" s="45" t="b">
        <v>1</v>
      </c>
      <c r="R3" s="5" t="s">
        <v>424</v>
      </c>
    </row>
    <row r="4">
      <c r="A4" s="12" t="s">
        <v>271</v>
      </c>
      <c r="B4" s="12" t="s">
        <v>272</v>
      </c>
      <c r="C4" s="42"/>
      <c r="D4" s="42" t="b">
        <f t="shared" ref="D4:H4" si="6">VLOOKUP($A4, INDIRECT(D$1&amp;"!A:C"), 3, FALSE)</f>
        <v>0</v>
      </c>
      <c r="E4" s="42" t="str">
        <f t="shared" si="6"/>
        <v>TO DO</v>
      </c>
      <c r="F4" s="42" t="str">
        <f t="shared" si="6"/>
        <v>TO DO</v>
      </c>
      <c r="G4" s="42" t="b">
        <f t="shared" si="6"/>
        <v>0</v>
      </c>
      <c r="H4" s="42" t="b">
        <f t="shared" si="6"/>
        <v>0</v>
      </c>
      <c r="I4" s="43">
        <f t="shared" si="4"/>
        <v>1</v>
      </c>
      <c r="J4" s="44" t="str">
        <f t="shared" ref="J4:N4" si="7">VLOOKUP($A4, INDIRECT(J$1&amp;"!A:D"), 4, FALSE)</f>
        <v/>
      </c>
      <c r="K4" s="44" t="str">
        <f t="shared" si="7"/>
        <v/>
      </c>
      <c r="L4" s="44" t="str">
        <f t="shared" si="7"/>
        <v/>
      </c>
      <c r="M4" s="44" t="str">
        <f t="shared" si="7"/>
        <v/>
      </c>
      <c r="N4" s="44" t="str">
        <f t="shared" si="7"/>
        <v/>
      </c>
      <c r="O4" s="43" t="str">
        <f>IFERROR(__xludf.DUMMYFUNCTION("IF(COUNTA(J4:N4)=0, """", ARRAYFORMULA(""- ""&amp;TEXTJOIN(char(10)&amp;""- "", TRUE, FILTER(J$1:N$1&amp;"": ""&amp;J4:N4, NOT(ISBLANK(J4:N4))))))"),"")</f>
        <v/>
      </c>
      <c r="P4" s="43" t="s">
        <v>425</v>
      </c>
      <c r="Q4" s="45" t="b">
        <v>0</v>
      </c>
    </row>
    <row r="5">
      <c r="A5" s="12" t="s">
        <v>255</v>
      </c>
      <c r="B5" s="12" t="s">
        <v>256</v>
      </c>
      <c r="C5" s="7" t="s">
        <v>422</v>
      </c>
      <c r="D5" s="42" t="b">
        <f t="shared" ref="D5:H5" si="8">VLOOKUP($A5, INDIRECT(D$1&amp;"!A:C"), 3, FALSE)</f>
        <v>1</v>
      </c>
      <c r="E5" s="42" t="b">
        <f t="shared" si="8"/>
        <v>1</v>
      </c>
      <c r="F5" s="42" t="str">
        <f t="shared" si="8"/>
        <v>TO DO</v>
      </c>
      <c r="G5" s="42" t="b">
        <f t="shared" si="8"/>
        <v>0</v>
      </c>
      <c r="H5" s="42" t="b">
        <f t="shared" si="8"/>
        <v>1</v>
      </c>
      <c r="I5" s="43">
        <f t="shared" si="4"/>
        <v>0.5</v>
      </c>
      <c r="J5" s="44" t="str">
        <f t="shared" ref="J5:N5" si="9">VLOOKUP($A5, INDIRECT(J$1&amp;"!A:D"), 4, FALSE)</f>
        <v/>
      </c>
      <c r="K5" s="44" t="str">
        <f t="shared" si="9"/>
        <v/>
      </c>
      <c r="L5" s="44" t="str">
        <f t="shared" si="9"/>
        <v/>
      </c>
      <c r="M5" s="44" t="str">
        <f t="shared" si="9"/>
        <v>not really about SDG 6, more about the costs of water management</v>
      </c>
      <c r="N5" s="44" t="str">
        <f t="shared" si="9"/>
        <v/>
      </c>
      <c r="O5" s="43" t="str">
        <f>IFERROR(__xludf.DUMMYFUNCTION("IF(COUNTA(J5:N5)=0, """", ARRAYFORMULA(""- ""&amp;TEXTJOIN(char(10)&amp;""- "", TRUE, FILTER(J$1:N$1&amp;"": ""&amp;J5:N5, NOT(ISBLANK(J5:N5))))))"),"- Meike: not really about SDG 6, more about the costs of water management")</f>
        <v>- Meike: not really about SDG 6, more about the costs of water management</v>
      </c>
      <c r="P5" s="43" t="s">
        <v>426</v>
      </c>
      <c r="Q5" s="45" t="b">
        <v>1</v>
      </c>
      <c r="R5" s="5" t="s">
        <v>427</v>
      </c>
    </row>
    <row r="6">
      <c r="A6" s="12" t="s">
        <v>111</v>
      </c>
      <c r="B6" s="12" t="s">
        <v>112</v>
      </c>
      <c r="C6" s="7" t="s">
        <v>422</v>
      </c>
      <c r="D6" s="42" t="b">
        <f t="shared" ref="D6:H6" si="10">VLOOKUP($A6, INDIRECT(D$1&amp;"!A:C"), 3, FALSE)</f>
        <v>0</v>
      </c>
      <c r="E6" s="42" t="b">
        <f t="shared" si="10"/>
        <v>0</v>
      </c>
      <c r="F6" s="42" t="str">
        <f t="shared" si="10"/>
        <v>TO DO</v>
      </c>
      <c r="G6" s="42" t="b">
        <f t="shared" si="10"/>
        <v>0</v>
      </c>
      <c r="H6" s="42" t="b">
        <f t="shared" si="10"/>
        <v>1</v>
      </c>
      <c r="I6" s="43">
        <f t="shared" si="4"/>
        <v>0.5</v>
      </c>
      <c r="J6" s="44" t="str">
        <f t="shared" ref="J6:N6" si="11">VLOOKUP($A6, INDIRECT(J$1&amp;"!A:D"), 4, FALSE)</f>
        <v/>
      </c>
      <c r="K6" s="44" t="str">
        <f t="shared" si="11"/>
        <v>about marine life, not mentioning links to water &amp; humans</v>
      </c>
      <c r="L6" s="44" t="str">
        <f t="shared" si="11"/>
        <v/>
      </c>
      <c r="M6" s="44" t="str">
        <f t="shared" si="11"/>
        <v/>
      </c>
      <c r="N6" s="44" t="str">
        <f t="shared" si="11"/>
        <v>water-related ecosystems</v>
      </c>
      <c r="O6" s="43" t="str">
        <f>IFERROR(__xludf.DUMMYFUNCTION("IF(COUNTA(J6:N6)=0, """", ARRAYFORMULA(""- ""&amp;TEXTJOIN(char(10)&amp;""- "", TRUE, FILTER(J$1:N$1&amp;"": ""&amp;J6:N6, NOT(ISBLANK(J6:N6))))))"),"- Gib: about marine life, not mentioning links to water &amp; humans
- Steve: water-related ecosystems")</f>
        <v>- Gib: about marine life, not mentioning links to water &amp; humans
- Steve: water-related ecosystems</v>
      </c>
      <c r="P6" s="43" t="s">
        <v>428</v>
      </c>
      <c r="Q6" s="45" t="s">
        <v>342</v>
      </c>
    </row>
    <row r="7">
      <c r="A7" s="12" t="s">
        <v>148</v>
      </c>
      <c r="B7" s="12" t="s">
        <v>149</v>
      </c>
      <c r="C7" s="7" t="s">
        <v>422</v>
      </c>
      <c r="D7" s="42" t="b">
        <f t="shared" ref="D7:H7" si="12">VLOOKUP($A7, INDIRECT(D$1&amp;"!A:C"), 3, FALSE)</f>
        <v>1</v>
      </c>
      <c r="E7" s="42" t="b">
        <f t="shared" si="12"/>
        <v>0</v>
      </c>
      <c r="F7" s="42" t="str">
        <f t="shared" si="12"/>
        <v>TO DO</v>
      </c>
      <c r="G7" s="42" t="b">
        <f t="shared" si="12"/>
        <v>0</v>
      </c>
      <c r="H7" s="42" t="b">
        <f t="shared" si="12"/>
        <v>0</v>
      </c>
      <c r="I7" s="43">
        <f t="shared" si="4"/>
        <v>0.5</v>
      </c>
      <c r="J7" s="44" t="str">
        <f t="shared" ref="J7:N7" si="13">VLOOKUP($A7, INDIRECT(J$1&amp;"!A:D"), 4, FALSE)</f>
        <v/>
      </c>
      <c r="K7" s="44" t="str">
        <f t="shared" si="13"/>
        <v>The passage talks about information source for research on SDG-6 progress, not about any projects related to SDG-6</v>
      </c>
      <c r="L7" s="44" t="str">
        <f t="shared" si="13"/>
        <v/>
      </c>
      <c r="M7" s="44" t="str">
        <f t="shared" si="13"/>
        <v>they mention ground water and its use but other than that nothing about SDG6</v>
      </c>
      <c r="N7" s="44" t="str">
        <f t="shared" si="13"/>
        <v/>
      </c>
      <c r="O7" s="43" t="str">
        <f>IFERROR(__xludf.DUMMYFUNCTION("IF(COUNTA(J7:N7)=0, """", ARRAYFORMULA(""- ""&amp;TEXTJOIN(char(10)&amp;""- "", TRUE, FILTER(J$1:N$1&amp;"": ""&amp;J7:N7, NOT(ISBLANK(J7:N7))))))"),"- Gib: The passage talks about information source for research on SDG-6 progress, not about any projects related to SDG-6
- Meike: they mention ground water and its use but other than that nothing about SDG6")</f>
        <v>- Gib: The passage talks about information source for research on SDG-6 progress, not about any projects related to SDG-6
- Meike: they mention ground water and its use but other than that nothing about SDG6</v>
      </c>
      <c r="P7" s="43" t="s">
        <v>429</v>
      </c>
      <c r="Q7" s="45" t="s">
        <v>342</v>
      </c>
      <c r="S7" s="5" t="s">
        <v>430</v>
      </c>
    </row>
    <row r="8">
      <c r="A8" s="12" t="s">
        <v>74</v>
      </c>
      <c r="B8" s="12" t="s">
        <v>75</v>
      </c>
      <c r="C8" s="7" t="s">
        <v>422</v>
      </c>
      <c r="D8" s="42" t="b">
        <f t="shared" ref="D8:H8" si="14">VLOOKUP($A8, INDIRECT(D$1&amp;"!A:C"), 3, FALSE)</f>
        <v>1</v>
      </c>
      <c r="E8" s="42" t="b">
        <f t="shared" si="14"/>
        <v>1</v>
      </c>
      <c r="F8" s="42" t="str">
        <f t="shared" si="14"/>
        <v>TO DO</v>
      </c>
      <c r="G8" s="42" t="b">
        <f t="shared" si="14"/>
        <v>0</v>
      </c>
      <c r="H8" s="42" t="b">
        <f t="shared" si="14"/>
        <v>1</v>
      </c>
      <c r="I8" s="43">
        <f t="shared" si="4"/>
        <v>0.5</v>
      </c>
      <c r="J8" s="44" t="str">
        <f t="shared" ref="J8:N8" si="15">VLOOKUP($A8, INDIRECT(J$1&amp;"!A:D"), 4, FALSE)</f>
        <v/>
      </c>
      <c r="K8" s="44" t="str">
        <f t="shared" si="15"/>
        <v>borderline false. It's not clear if this passage is about different financial instruments to support specifically SDG-6 projects or just everything and water projects are mentioned as an example.</v>
      </c>
      <c r="L8" s="44" t="str">
        <f t="shared" si="15"/>
        <v/>
      </c>
      <c r="M8" s="44" t="str">
        <f t="shared" si="15"/>
        <v/>
      </c>
      <c r="N8" s="44" t="str">
        <f t="shared" si="15"/>
        <v/>
      </c>
      <c r="O8" s="43" t="str">
        <f>IFERROR(__xludf.DUMMYFUNCTION("IF(COUNTA(J8:N8)=0, """", ARRAYFORMULA(""- ""&amp;TEXTJOIN(char(10)&amp;""- "", TRUE, FILTER(J$1:N$1&amp;"": ""&amp;J8:N8, NOT(ISBLANK(J8:N8))))))"),"- Gib: borderline false. It's not clear if this passage is about different financial instruments to support specifically SDG-6 projects or just everything and water projects are mentioned as an example.")</f>
        <v>- Gib: borderline false. It's not clear if this passage is about different financial instruments to support specifically SDG-6 projects or just everything and water projects are mentioned as an example.</v>
      </c>
      <c r="P8" s="43" t="s">
        <v>431</v>
      </c>
      <c r="Q8" s="45" t="b">
        <v>1</v>
      </c>
      <c r="R8" s="5" t="s">
        <v>432</v>
      </c>
    </row>
    <row r="9">
      <c r="A9" s="12" t="s">
        <v>198</v>
      </c>
      <c r="B9" s="12" t="s">
        <v>199</v>
      </c>
      <c r="C9" s="7" t="s">
        <v>422</v>
      </c>
      <c r="D9" s="42" t="b">
        <f t="shared" ref="D9:H9" si="16">VLOOKUP($A9, INDIRECT(D$1&amp;"!A:C"), 3, FALSE)</f>
        <v>0</v>
      </c>
      <c r="E9" s="42" t="b">
        <f t="shared" si="16"/>
        <v>1</v>
      </c>
      <c r="F9" s="42" t="str">
        <f t="shared" si="16"/>
        <v>TO DO</v>
      </c>
      <c r="G9" s="42" t="b">
        <f t="shared" si="16"/>
        <v>1</v>
      </c>
      <c r="H9" s="42" t="b">
        <f t="shared" si="16"/>
        <v>1</v>
      </c>
      <c r="I9" s="43">
        <f t="shared" si="4"/>
        <v>0.5</v>
      </c>
      <c r="J9" s="44" t="str">
        <f t="shared" ref="J9:N9" si="17">VLOOKUP($A9, INDIRECT(J$1&amp;"!A:D"), 4, FALSE)</f>
        <v/>
      </c>
      <c r="K9" s="44" t="str">
        <f t="shared" si="17"/>
        <v/>
      </c>
      <c r="L9" s="44" t="str">
        <f t="shared" si="17"/>
        <v/>
      </c>
      <c r="M9" s="44" t="str">
        <f t="shared" si="17"/>
        <v/>
      </c>
      <c r="N9" s="44" t="str">
        <f t="shared" si="17"/>
        <v>6.5, 6.6</v>
      </c>
      <c r="O9" s="43" t="str">
        <f>IFERROR(__xludf.DUMMYFUNCTION("IF(COUNTA(J9:N9)=0, """", ARRAYFORMULA(""- ""&amp;TEXTJOIN(char(10)&amp;""- "", TRUE, FILTER(J$1:N$1&amp;"": ""&amp;J9:N9, NOT(ISBLANK(J9:N9))))))"),"- Steve: 6.5, 6.6")</f>
        <v>- Steve: 6.5, 6.6</v>
      </c>
      <c r="P9" s="43" t="s">
        <v>433</v>
      </c>
      <c r="Q9" s="45" t="b">
        <v>1</v>
      </c>
      <c r="R9" s="5" t="s">
        <v>434</v>
      </c>
    </row>
    <row r="10">
      <c r="A10" s="12" t="s">
        <v>217</v>
      </c>
      <c r="B10" s="12" t="s">
        <v>218</v>
      </c>
      <c r="C10" s="42"/>
      <c r="D10" s="42" t="b">
        <f t="shared" ref="D10:H10" si="18">VLOOKUP($A10, INDIRECT(D$1&amp;"!A:C"), 3, FALSE)</f>
        <v>1</v>
      </c>
      <c r="E10" s="42" t="b">
        <f t="shared" si="18"/>
        <v>1</v>
      </c>
      <c r="F10" s="42" t="str">
        <f t="shared" si="18"/>
        <v>TO DO</v>
      </c>
      <c r="G10" s="42" t="b">
        <f t="shared" si="18"/>
        <v>1</v>
      </c>
      <c r="H10" s="42" t="b">
        <f t="shared" si="18"/>
        <v>1</v>
      </c>
      <c r="I10" s="43">
        <f t="shared" si="4"/>
        <v>1</v>
      </c>
      <c r="J10" s="44" t="str">
        <f t="shared" ref="J10:N10" si="19">VLOOKUP($A10, INDIRECT(J$1&amp;"!A:D"), 4, FALSE)</f>
        <v/>
      </c>
      <c r="K10" s="44" t="str">
        <f t="shared" si="19"/>
        <v/>
      </c>
      <c r="L10" s="44" t="str">
        <f t="shared" si="19"/>
        <v/>
      </c>
      <c r="M10" s="44" t="str">
        <f t="shared" si="19"/>
        <v/>
      </c>
      <c r="N10" s="44" t="str">
        <f t="shared" si="19"/>
        <v/>
      </c>
      <c r="O10" s="43" t="str">
        <f>IFERROR(__xludf.DUMMYFUNCTION("IF(COUNTA(J10:N10)=0, """", ARRAYFORMULA(""- ""&amp;TEXTJOIN(char(10)&amp;""- "", TRUE, FILTER(J$1:N$1&amp;"": ""&amp;J10:N10, NOT(ISBLANK(J10:N10))))))"),"")</f>
        <v/>
      </c>
      <c r="P10" s="43" t="s">
        <v>425</v>
      </c>
      <c r="Q10" s="45" t="b">
        <v>1</v>
      </c>
      <c r="S10" s="5" t="s">
        <v>435</v>
      </c>
    </row>
    <row r="11">
      <c r="A11" s="12" t="s">
        <v>101</v>
      </c>
      <c r="B11" s="12" t="s">
        <v>102</v>
      </c>
      <c r="C11" s="46"/>
      <c r="D11" s="42" t="b">
        <f t="shared" ref="D11:H11" si="20">VLOOKUP($A11, INDIRECT(D$1&amp;"!A:C"), 3, FALSE)</f>
        <v>1</v>
      </c>
      <c r="E11" s="42" t="str">
        <f t="shared" si="20"/>
        <v>TO DO</v>
      </c>
      <c r="F11" s="42" t="str">
        <f t="shared" si="20"/>
        <v>TO DO</v>
      </c>
      <c r="G11" s="42" t="b">
        <f t="shared" si="20"/>
        <v>1</v>
      </c>
      <c r="H11" s="42" t="b">
        <f t="shared" si="20"/>
        <v>1</v>
      </c>
      <c r="I11" s="43">
        <f t="shared" si="4"/>
        <v>1</v>
      </c>
      <c r="J11" s="44" t="str">
        <f t="shared" ref="J11:N11" si="21">VLOOKUP($A11, INDIRECT(J$1&amp;"!A:D"), 4, FALSE)</f>
        <v>value neutral?</v>
      </c>
      <c r="K11" s="44" t="str">
        <f t="shared" si="21"/>
        <v/>
      </c>
      <c r="L11" s="44" t="str">
        <f t="shared" si="21"/>
        <v/>
      </c>
      <c r="M11" s="44" t="str">
        <f t="shared" si="21"/>
        <v/>
      </c>
      <c r="N11" s="44" t="str">
        <f t="shared" si="21"/>
        <v/>
      </c>
      <c r="O11" s="43" t="str">
        <f>IFERROR(__xludf.DUMMYFUNCTION("IF(COUNTA(J11:N11)=0, """", ARRAYFORMULA(""- ""&amp;TEXTJOIN(char(10)&amp;""- "", TRUE, FILTER(J$1:N$1&amp;"": ""&amp;J11:N11, NOT(ISBLANK(J11:N11))))))"),"- Finn: value neutral?")</f>
        <v>- Finn: value neutral?</v>
      </c>
      <c r="P11" s="43" t="s">
        <v>436</v>
      </c>
      <c r="Q11" s="45" t="b">
        <v>1</v>
      </c>
    </row>
    <row r="12">
      <c r="A12" s="12" t="s">
        <v>237</v>
      </c>
      <c r="B12" s="12" t="s">
        <v>238</v>
      </c>
      <c r="C12" s="47" t="s">
        <v>437</v>
      </c>
      <c r="D12" s="42" t="b">
        <f t="shared" ref="D12:H12" si="22">VLOOKUP($A12, INDIRECT(D$1&amp;"!A:C"), 3, FALSE)</f>
        <v>1</v>
      </c>
      <c r="E12" s="42" t="b">
        <f t="shared" si="22"/>
        <v>0</v>
      </c>
      <c r="F12" s="42" t="str">
        <f t="shared" si="22"/>
        <v>TO DO</v>
      </c>
      <c r="G12" s="42" t="b">
        <f t="shared" si="22"/>
        <v>1</v>
      </c>
      <c r="H12" s="42" t="b">
        <f t="shared" si="22"/>
        <v>0</v>
      </c>
      <c r="I12" s="43">
        <f t="shared" si="4"/>
        <v>0</v>
      </c>
      <c r="J12" s="44" t="str">
        <f t="shared" ref="J12:N12" si="23">VLOOKUP($A12, INDIRECT(J$1&amp;"!A:D"), 4, FALSE)</f>
        <v/>
      </c>
      <c r="K12" s="44" t="str">
        <f t="shared" si="23"/>
        <v/>
      </c>
      <c r="L12" s="44" t="str">
        <f t="shared" si="23"/>
        <v/>
      </c>
      <c r="M12" s="44" t="str">
        <f t="shared" si="23"/>
        <v/>
      </c>
      <c r="N12" s="44" t="str">
        <f t="shared" si="23"/>
        <v/>
      </c>
      <c r="O12" s="43" t="str">
        <f>IFERROR(__xludf.DUMMYFUNCTION("IF(COUNTA(J12:N12)=0, """", ARRAYFORMULA(""- ""&amp;TEXTJOIN(char(10)&amp;""- "", TRUE, FILTER(J$1:N$1&amp;"": ""&amp;J12:N12, NOT(ISBLANK(J12:N12))))))"),"")</f>
        <v/>
      </c>
      <c r="P12" s="43" t="s">
        <v>425</v>
      </c>
      <c r="Q12" s="45" t="s">
        <v>342</v>
      </c>
    </row>
    <row r="13">
      <c r="A13" s="12" t="s">
        <v>161</v>
      </c>
      <c r="B13" s="12" t="s">
        <v>162</v>
      </c>
      <c r="C13" s="46"/>
      <c r="D13" s="42" t="b">
        <f t="shared" ref="D13:H13" si="24">VLOOKUP($A13, INDIRECT(D$1&amp;"!A:C"), 3, FALSE)</f>
        <v>1</v>
      </c>
      <c r="E13" s="42" t="b">
        <f t="shared" si="24"/>
        <v>1</v>
      </c>
      <c r="F13" s="42" t="str">
        <f t="shared" si="24"/>
        <v>TO DO</v>
      </c>
      <c r="G13" s="42" t="b">
        <f t="shared" si="24"/>
        <v>1</v>
      </c>
      <c r="H13" s="42" t="b">
        <f t="shared" si="24"/>
        <v>1</v>
      </c>
      <c r="I13" s="43">
        <f t="shared" si="4"/>
        <v>1</v>
      </c>
      <c r="J13" s="44" t="str">
        <f t="shared" ref="J13:N13" si="25">VLOOKUP($A13, INDIRECT(J$1&amp;"!A:D"), 4, FALSE)</f>
        <v/>
      </c>
      <c r="K13" s="44" t="str">
        <f t="shared" si="25"/>
        <v/>
      </c>
      <c r="L13" s="44" t="str">
        <f t="shared" si="25"/>
        <v/>
      </c>
      <c r="M13" s="44" t="str">
        <f t="shared" si="25"/>
        <v/>
      </c>
      <c r="N13" s="44" t="str">
        <f t="shared" si="25"/>
        <v/>
      </c>
      <c r="O13" s="43" t="str">
        <f>IFERROR(__xludf.DUMMYFUNCTION("IF(COUNTA(J13:N13)=0, """", ARRAYFORMULA(""- ""&amp;TEXTJOIN(char(10)&amp;""- "", TRUE, FILTER(J$1:N$1&amp;"": ""&amp;J13:N13, NOT(ISBLANK(J13:N13))))))"),"")</f>
        <v/>
      </c>
      <c r="P13" s="43" t="s">
        <v>425</v>
      </c>
      <c r="Q13" s="45" t="b">
        <v>1</v>
      </c>
    </row>
    <row r="14">
      <c r="A14" s="12" t="s">
        <v>249</v>
      </c>
      <c r="B14" s="12" t="s">
        <v>250</v>
      </c>
      <c r="C14" s="46"/>
      <c r="D14" s="42" t="b">
        <f t="shared" ref="D14:H14" si="26">VLOOKUP($A14, INDIRECT(D$1&amp;"!A:C"), 3, FALSE)</f>
        <v>0</v>
      </c>
      <c r="E14" s="42" t="str">
        <f t="shared" si="26"/>
        <v>TO DO</v>
      </c>
      <c r="F14" s="42" t="str">
        <f t="shared" si="26"/>
        <v>TO DO</v>
      </c>
      <c r="G14" s="42" t="b">
        <f t="shared" si="26"/>
        <v>0</v>
      </c>
      <c r="H14" s="42" t="b">
        <f t="shared" si="26"/>
        <v>0</v>
      </c>
      <c r="I14" s="43">
        <f t="shared" si="4"/>
        <v>1</v>
      </c>
      <c r="J14" s="44" t="str">
        <f t="shared" ref="J14:N14" si="27">VLOOKUP($A14, INDIRECT(J$1&amp;"!A:D"), 4, FALSE)</f>
        <v/>
      </c>
      <c r="K14" s="44" t="str">
        <f t="shared" si="27"/>
        <v/>
      </c>
      <c r="L14" s="44" t="str">
        <f t="shared" si="27"/>
        <v/>
      </c>
      <c r="M14" s="44" t="str">
        <f t="shared" si="27"/>
        <v/>
      </c>
      <c r="N14" s="44" t="str">
        <f t="shared" si="27"/>
        <v/>
      </c>
      <c r="O14" s="43" t="str">
        <f>IFERROR(__xludf.DUMMYFUNCTION("IF(COUNTA(J14:N14)=0, """", ARRAYFORMULA(""- ""&amp;TEXTJOIN(char(10)&amp;""- "", TRUE, FILTER(J$1:N$1&amp;"": ""&amp;J14:N14, NOT(ISBLANK(J14:N14))))))"),"")</f>
        <v/>
      </c>
      <c r="P14" s="43" t="s">
        <v>425</v>
      </c>
      <c r="Q14" s="45" t="b">
        <v>0</v>
      </c>
    </row>
    <row r="15">
      <c r="A15" s="12" t="s">
        <v>132</v>
      </c>
      <c r="B15" s="12" t="s">
        <v>133</v>
      </c>
      <c r="C15" s="46"/>
      <c r="D15" s="42" t="b">
        <f t="shared" ref="D15:H15" si="28">VLOOKUP($A15, INDIRECT(D$1&amp;"!A:C"), 3, FALSE)</f>
        <v>1</v>
      </c>
      <c r="E15" s="42" t="str">
        <f t="shared" si="28"/>
        <v>TO DO</v>
      </c>
      <c r="F15" s="42" t="str">
        <f t="shared" si="28"/>
        <v>TO DO</v>
      </c>
      <c r="G15" s="42" t="b">
        <f t="shared" si="28"/>
        <v>1</v>
      </c>
      <c r="H15" s="42" t="b">
        <f t="shared" si="28"/>
        <v>1</v>
      </c>
      <c r="I15" s="43">
        <f t="shared" si="4"/>
        <v>1</v>
      </c>
      <c r="J15" s="44" t="str">
        <f t="shared" ref="J15:N15" si="29">VLOOKUP($A15, INDIRECT(J$1&amp;"!A:D"), 4, FALSE)</f>
        <v/>
      </c>
      <c r="K15" s="44" t="str">
        <f t="shared" si="29"/>
        <v/>
      </c>
      <c r="L15" s="44" t="str">
        <f t="shared" si="29"/>
        <v/>
      </c>
      <c r="M15" s="44" t="str">
        <f t="shared" si="29"/>
        <v/>
      </c>
      <c r="N15" s="44" t="str">
        <f t="shared" si="29"/>
        <v/>
      </c>
      <c r="O15" s="43" t="str">
        <f>IFERROR(__xludf.DUMMYFUNCTION("IF(COUNTA(J15:N15)=0, """", ARRAYFORMULA(""- ""&amp;TEXTJOIN(char(10)&amp;""- "", TRUE, FILTER(J$1:N$1&amp;"": ""&amp;J15:N15, NOT(ISBLANK(J15:N15))))))"),"")</f>
        <v/>
      </c>
      <c r="P15" s="43" t="s">
        <v>425</v>
      </c>
      <c r="Q15" s="45" t="b">
        <v>1</v>
      </c>
    </row>
    <row r="16">
      <c r="A16" s="12" t="s">
        <v>179</v>
      </c>
      <c r="B16" s="12" t="s">
        <v>180</v>
      </c>
      <c r="C16" s="46"/>
      <c r="D16" s="42" t="b">
        <f t="shared" ref="D16:H16" si="30">VLOOKUP($A16, INDIRECT(D$1&amp;"!A:C"), 3, FALSE)</f>
        <v>1</v>
      </c>
      <c r="E16" s="42" t="str">
        <f t="shared" si="30"/>
        <v>TO DO</v>
      </c>
      <c r="F16" s="42" t="str">
        <f t="shared" si="30"/>
        <v>TO DO</v>
      </c>
      <c r="G16" s="42" t="b">
        <f t="shared" si="30"/>
        <v>1</v>
      </c>
      <c r="H16" s="42" t="b">
        <f t="shared" si="30"/>
        <v>1</v>
      </c>
      <c r="I16" s="43">
        <f t="shared" si="4"/>
        <v>1</v>
      </c>
      <c r="J16" s="44" t="str">
        <f t="shared" ref="J16:N16" si="31">VLOOKUP($A16, INDIRECT(J$1&amp;"!A:D"), 4, FALSE)</f>
        <v/>
      </c>
      <c r="K16" s="44" t="str">
        <f t="shared" si="31"/>
        <v/>
      </c>
      <c r="L16" s="44" t="str">
        <f t="shared" si="31"/>
        <v/>
      </c>
      <c r="M16" s="44" t="str">
        <f t="shared" si="31"/>
        <v>target 6a? it is about water management but not directlybrelated to the targets</v>
      </c>
      <c r="N16" s="44" t="str">
        <f t="shared" si="31"/>
        <v/>
      </c>
      <c r="O16" s="43" t="str">
        <f>IFERROR(__xludf.DUMMYFUNCTION("IF(COUNTA(J16:N16)=0, """", ARRAYFORMULA(""- ""&amp;TEXTJOIN(char(10)&amp;""- "", TRUE, FILTER(J$1:N$1&amp;"": ""&amp;J16:N16, NOT(ISBLANK(J16:N16))))))"),"- Meike: target 6a? it is about water management but not directlybrelated to the targets")</f>
        <v>- Meike: target 6a? it is about water management but not directlybrelated to the targets</v>
      </c>
      <c r="P16" s="43" t="s">
        <v>438</v>
      </c>
      <c r="Q16" s="45" t="b">
        <v>1</v>
      </c>
    </row>
    <row r="17">
      <c r="A17" s="12" t="s">
        <v>263</v>
      </c>
      <c r="B17" s="12" t="s">
        <v>264</v>
      </c>
      <c r="C17" s="7"/>
      <c r="D17" s="42" t="b">
        <f t="shared" ref="D17:H17" si="32">VLOOKUP($A17, INDIRECT(D$1&amp;"!A:C"), 3, FALSE)</f>
        <v>1</v>
      </c>
      <c r="E17" s="42" t="b">
        <f t="shared" si="32"/>
        <v>1</v>
      </c>
      <c r="F17" s="42" t="str">
        <f t="shared" si="32"/>
        <v>TO DO</v>
      </c>
      <c r="G17" s="42" t="b">
        <f t="shared" si="32"/>
        <v>1</v>
      </c>
      <c r="H17" s="42" t="b">
        <f t="shared" si="32"/>
        <v>1</v>
      </c>
      <c r="I17" s="43">
        <f t="shared" si="4"/>
        <v>1</v>
      </c>
      <c r="J17" s="44" t="str">
        <f t="shared" ref="J17:N17" si="33">VLOOKUP($A17, INDIRECT(J$1&amp;"!A:D"), 4, FALSE)</f>
        <v/>
      </c>
      <c r="K17" s="44" t="str">
        <f t="shared" si="33"/>
        <v/>
      </c>
      <c r="L17" s="44" t="str">
        <f t="shared" si="33"/>
        <v/>
      </c>
      <c r="M17" s="44" t="str">
        <f t="shared" si="33"/>
        <v/>
      </c>
      <c r="N17" s="44" t="str">
        <f t="shared" si="33"/>
        <v/>
      </c>
      <c r="O17" s="43" t="str">
        <f>IFERROR(__xludf.DUMMYFUNCTION("IF(COUNTA(J17:N17)=0, """", ARRAYFORMULA(""- ""&amp;TEXTJOIN(char(10)&amp;""- "", TRUE, FILTER(J$1:N$1&amp;"": ""&amp;J17:N17, NOT(ISBLANK(J17:N17))))))"),"")</f>
        <v/>
      </c>
      <c r="P17" s="43" t="s">
        <v>425</v>
      </c>
      <c r="Q17" s="45" t="b">
        <v>1</v>
      </c>
    </row>
    <row r="18">
      <c r="A18" s="12" t="s">
        <v>207</v>
      </c>
      <c r="B18" s="12" t="s">
        <v>208</v>
      </c>
      <c r="C18" s="7"/>
      <c r="D18" s="42" t="b">
        <f t="shared" ref="D18:H18" si="34">VLOOKUP($A18, INDIRECT(D$1&amp;"!A:C"), 3, FALSE)</f>
        <v>0</v>
      </c>
      <c r="E18" s="42" t="b">
        <f t="shared" si="34"/>
        <v>0</v>
      </c>
      <c r="F18" s="42" t="str">
        <f t="shared" si="34"/>
        <v>TO DO</v>
      </c>
      <c r="G18" s="42" t="b">
        <f t="shared" si="34"/>
        <v>0</v>
      </c>
      <c r="H18" s="42" t="b">
        <f t="shared" si="34"/>
        <v>0</v>
      </c>
      <c r="I18" s="43">
        <f t="shared" si="4"/>
        <v>1</v>
      </c>
      <c r="J18" s="44" t="str">
        <f t="shared" ref="J18:N18" si="35">VLOOKUP($A18, INDIRECT(J$1&amp;"!A:D"), 4, FALSE)</f>
        <v/>
      </c>
      <c r="K18" s="44" t="str">
        <f t="shared" si="35"/>
        <v/>
      </c>
      <c r="L18" s="44" t="str">
        <f t="shared" si="35"/>
        <v/>
      </c>
      <c r="M18" s="44" t="str">
        <f t="shared" si="35"/>
        <v/>
      </c>
      <c r="N18" s="44" t="str">
        <f t="shared" si="35"/>
        <v/>
      </c>
      <c r="O18" s="43" t="str">
        <f>IFERROR(__xludf.DUMMYFUNCTION("IF(COUNTA(J18:N18)=0, """", ARRAYFORMULA(""- ""&amp;TEXTJOIN(char(10)&amp;""- "", TRUE, FILTER(J$1:N$1&amp;"": ""&amp;J18:N18, NOT(ISBLANK(J18:N18))))))"),"")</f>
        <v/>
      </c>
      <c r="P18" s="43" t="s">
        <v>425</v>
      </c>
      <c r="Q18" s="45" t="b">
        <v>0</v>
      </c>
    </row>
    <row r="19">
      <c r="A19" s="12" t="s">
        <v>142</v>
      </c>
      <c r="B19" s="12" t="s">
        <v>143</v>
      </c>
      <c r="C19" s="7"/>
      <c r="D19" s="42" t="b">
        <f t="shared" ref="D19:H19" si="36">VLOOKUP($A19, INDIRECT(D$1&amp;"!A:C"), 3, FALSE)</f>
        <v>1</v>
      </c>
      <c r="E19" s="42" t="b">
        <f t="shared" si="36"/>
        <v>1</v>
      </c>
      <c r="F19" s="42" t="str">
        <f t="shared" si="36"/>
        <v>TO DO</v>
      </c>
      <c r="G19" s="42" t="b">
        <f t="shared" si="36"/>
        <v>1</v>
      </c>
      <c r="H19" s="42" t="b">
        <f t="shared" si="36"/>
        <v>1</v>
      </c>
      <c r="I19" s="43">
        <f t="shared" si="4"/>
        <v>1</v>
      </c>
      <c r="J19" s="44" t="str">
        <f t="shared" ref="J19:N19" si="37">VLOOKUP($A19, INDIRECT(J$1&amp;"!A:D"), 4, FALSE)</f>
        <v/>
      </c>
      <c r="K19" s="44" t="str">
        <f t="shared" si="37"/>
        <v/>
      </c>
      <c r="L19" s="44" t="str">
        <f t="shared" si="37"/>
        <v/>
      </c>
      <c r="M19" s="44" t="str">
        <f t="shared" si="37"/>
        <v/>
      </c>
      <c r="N19" s="44" t="str">
        <f t="shared" si="37"/>
        <v/>
      </c>
      <c r="O19" s="43" t="str">
        <f>IFERROR(__xludf.DUMMYFUNCTION("IF(COUNTA(J19:N19)=0, """", ARRAYFORMULA(""- ""&amp;TEXTJOIN(char(10)&amp;""- "", TRUE, FILTER(J$1:N$1&amp;"": ""&amp;J19:N19, NOT(ISBLANK(J19:N19))))))"),"")</f>
        <v/>
      </c>
      <c r="P19" s="43" t="s">
        <v>425</v>
      </c>
      <c r="Q19" s="45" t="b">
        <v>1</v>
      </c>
    </row>
    <row r="20">
      <c r="A20" s="12" t="s">
        <v>265</v>
      </c>
      <c r="B20" s="12" t="s">
        <v>266</v>
      </c>
      <c r="C20" s="7" t="s">
        <v>422</v>
      </c>
      <c r="D20" s="42" t="b">
        <f t="shared" ref="D20:H20" si="38">VLOOKUP($A20, INDIRECT(D$1&amp;"!A:C"), 3, FALSE)</f>
        <v>0</v>
      </c>
      <c r="E20" s="42" t="b">
        <f t="shared" si="38"/>
        <v>1</v>
      </c>
      <c r="F20" s="42" t="str">
        <f t="shared" si="38"/>
        <v>TO DO</v>
      </c>
      <c r="G20" s="42" t="b">
        <f t="shared" si="38"/>
        <v>1</v>
      </c>
      <c r="H20" s="42" t="b">
        <f t="shared" si="38"/>
        <v>1</v>
      </c>
      <c r="I20" s="43">
        <f t="shared" si="4"/>
        <v>0.5</v>
      </c>
      <c r="J20" s="44" t="str">
        <f t="shared" ref="J20:N20" si="39">VLOOKUP($A20, INDIRECT(J$1&amp;"!A:D"), 4, FALSE)</f>
        <v/>
      </c>
      <c r="K20" s="44" t="str">
        <f t="shared" si="39"/>
        <v/>
      </c>
      <c r="L20" s="44" t="str">
        <f t="shared" si="39"/>
        <v/>
      </c>
      <c r="M20" s="44" t="str">
        <f t="shared" si="39"/>
        <v/>
      </c>
      <c r="N20" s="44" t="str">
        <f t="shared" si="39"/>
        <v/>
      </c>
      <c r="O20" s="43" t="str">
        <f>IFERROR(__xludf.DUMMYFUNCTION("IF(COUNTA(J20:N20)=0, """", ARRAYFORMULA(""- ""&amp;TEXTJOIN(char(10)&amp;""- "", TRUE, FILTER(J$1:N$1&amp;"": ""&amp;J20:N20, NOT(ISBLANK(J20:N20))))))"),"")</f>
        <v/>
      </c>
      <c r="P20" s="43" t="s">
        <v>425</v>
      </c>
      <c r="Q20" s="45" t="b">
        <v>1</v>
      </c>
      <c r="R20" s="5" t="s">
        <v>439</v>
      </c>
    </row>
    <row r="21">
      <c r="A21" s="12" t="s">
        <v>221</v>
      </c>
      <c r="B21" s="12" t="s">
        <v>222</v>
      </c>
      <c r="C21" s="7"/>
      <c r="D21" s="42" t="b">
        <f t="shared" ref="D21:H21" si="40">VLOOKUP($A21, INDIRECT(D$1&amp;"!A:C"), 3, FALSE)</f>
        <v>0</v>
      </c>
      <c r="E21" s="42" t="str">
        <f t="shared" si="40"/>
        <v>TO DO</v>
      </c>
      <c r="F21" s="42" t="str">
        <f t="shared" si="40"/>
        <v>TO DO</v>
      </c>
      <c r="G21" s="42" t="b">
        <f t="shared" si="40"/>
        <v>0</v>
      </c>
      <c r="H21" s="42" t="b">
        <f t="shared" si="40"/>
        <v>0</v>
      </c>
      <c r="I21" s="43">
        <f t="shared" si="4"/>
        <v>1</v>
      </c>
      <c r="J21" s="44" t="str">
        <f t="shared" ref="J21:N21" si="41">VLOOKUP($A21, INDIRECT(J$1&amp;"!A:D"), 4, FALSE)</f>
        <v/>
      </c>
      <c r="K21" s="44" t="str">
        <f t="shared" si="41"/>
        <v/>
      </c>
      <c r="L21" s="44" t="str">
        <f t="shared" si="41"/>
        <v/>
      </c>
      <c r="M21" s="44" t="str">
        <f t="shared" si="41"/>
        <v/>
      </c>
      <c r="N21" s="44" t="str">
        <f t="shared" si="41"/>
        <v/>
      </c>
      <c r="O21" s="43" t="str">
        <f>IFERROR(__xludf.DUMMYFUNCTION("IF(COUNTA(J21:N21)=0, """", ARRAYFORMULA(""- ""&amp;TEXTJOIN(char(10)&amp;""- "", TRUE, FILTER(J$1:N$1&amp;"": ""&amp;J21:N21, NOT(ISBLANK(J21:N21))))))"),"")</f>
        <v/>
      </c>
      <c r="P21" s="43" t="s">
        <v>425</v>
      </c>
      <c r="Q21" s="45" t="b">
        <v>0</v>
      </c>
    </row>
    <row r="22">
      <c r="A22" s="12" t="s">
        <v>154</v>
      </c>
      <c r="B22" s="12" t="s">
        <v>155</v>
      </c>
      <c r="C22" s="47" t="s">
        <v>440</v>
      </c>
      <c r="D22" s="42" t="b">
        <f t="shared" ref="D22:H22" si="42">VLOOKUP($A22, INDIRECT(D$1&amp;"!A:C"), 3, FALSE)</f>
        <v>1</v>
      </c>
      <c r="E22" s="42" t="str">
        <f t="shared" si="42"/>
        <v>TO DO</v>
      </c>
      <c r="F22" s="42" t="str">
        <f t="shared" si="42"/>
        <v>TO DO</v>
      </c>
      <c r="G22" s="42" t="b">
        <f t="shared" si="42"/>
        <v>0</v>
      </c>
      <c r="H22" s="42" t="b">
        <f t="shared" si="42"/>
        <v>1</v>
      </c>
      <c r="I22" s="43">
        <f t="shared" si="4"/>
        <v>0.3333333333</v>
      </c>
      <c r="J22" s="44" t="str">
        <f t="shared" ref="J22:N22" si="43">VLOOKUP($A22, INDIRECT(J$1&amp;"!A:D"), 4, FALSE)</f>
        <v/>
      </c>
      <c r="K22" s="44" t="str">
        <f t="shared" si="43"/>
        <v/>
      </c>
      <c r="L22" s="44" t="str">
        <f t="shared" si="43"/>
        <v/>
      </c>
      <c r="M22" s="44" t="str">
        <f t="shared" si="43"/>
        <v>mentions water management, but not any of the targets</v>
      </c>
      <c r="N22" s="44" t="str">
        <f t="shared" si="43"/>
        <v/>
      </c>
      <c r="O22" s="43" t="str">
        <f>IFERROR(__xludf.DUMMYFUNCTION("IF(COUNTA(J22:N22)=0, """", ARRAYFORMULA(""- ""&amp;TEXTJOIN(char(10)&amp;""- "", TRUE, FILTER(J$1:N$1&amp;"": ""&amp;J22:N22, NOT(ISBLANK(J22:N22))))))"),"- Meike: mentions water management, but not any of the targets")</f>
        <v>- Meike: mentions water management, but not any of the targets</v>
      </c>
      <c r="P22" s="43" t="s">
        <v>441</v>
      </c>
      <c r="Q22" s="45" t="s">
        <v>342</v>
      </c>
    </row>
    <row r="23">
      <c r="A23" s="12" t="s">
        <v>93</v>
      </c>
      <c r="B23" s="12" t="s">
        <v>94</v>
      </c>
      <c r="C23" s="42"/>
      <c r="D23" s="42" t="b">
        <f t="shared" ref="D23:H23" si="44">VLOOKUP($A23, INDIRECT(D$1&amp;"!A:C"), 3, FALSE)</f>
        <v>1</v>
      </c>
      <c r="E23" s="42" t="str">
        <f t="shared" si="44"/>
        <v>TO DO</v>
      </c>
      <c r="F23" s="42" t="str">
        <f t="shared" si="44"/>
        <v>TO DO</v>
      </c>
      <c r="G23" s="42" t="b">
        <f t="shared" si="44"/>
        <v>1</v>
      </c>
      <c r="H23" s="42" t="b">
        <f t="shared" si="44"/>
        <v>1</v>
      </c>
      <c r="I23" s="43">
        <f t="shared" si="4"/>
        <v>1</v>
      </c>
      <c r="J23" s="44" t="str">
        <f t="shared" ref="J23:N23" si="45">VLOOKUP($A23, INDIRECT(J$1&amp;"!A:D"), 4, FALSE)</f>
        <v/>
      </c>
      <c r="K23" s="44" t="str">
        <f t="shared" si="45"/>
        <v/>
      </c>
      <c r="L23" s="44" t="str">
        <f t="shared" si="45"/>
        <v/>
      </c>
      <c r="M23" s="44" t="str">
        <f t="shared" si="45"/>
        <v/>
      </c>
      <c r="N23" s="44" t="str">
        <f t="shared" si="45"/>
        <v/>
      </c>
      <c r="O23" s="43" t="str">
        <f>IFERROR(__xludf.DUMMYFUNCTION("IF(COUNTA(J23:N23)=0, """", ARRAYFORMULA(""- ""&amp;TEXTJOIN(char(10)&amp;""- "", TRUE, FILTER(J$1:N$1&amp;"": ""&amp;J23:N23, NOT(ISBLANK(J23:N23))))))"),"")</f>
        <v/>
      </c>
      <c r="P23" s="43" t="s">
        <v>425</v>
      </c>
      <c r="Q23" s="45" t="b">
        <v>1</v>
      </c>
    </row>
    <row r="24">
      <c r="A24" s="12" t="s">
        <v>257</v>
      </c>
      <c r="B24" s="12" t="s">
        <v>258</v>
      </c>
      <c r="C24" s="42"/>
      <c r="D24" s="42" t="b">
        <f t="shared" ref="D24:H24" si="46">VLOOKUP($A24, INDIRECT(D$1&amp;"!A:C"), 3, FALSE)</f>
        <v>1</v>
      </c>
      <c r="E24" s="42" t="str">
        <f t="shared" si="46"/>
        <v>TO DO</v>
      </c>
      <c r="F24" s="42" t="str">
        <f t="shared" si="46"/>
        <v>TO DO</v>
      </c>
      <c r="G24" s="42" t="b">
        <f t="shared" si="46"/>
        <v>1</v>
      </c>
      <c r="H24" s="42" t="b">
        <f t="shared" si="46"/>
        <v>1</v>
      </c>
      <c r="I24" s="43">
        <f t="shared" si="4"/>
        <v>1</v>
      </c>
      <c r="J24" s="44" t="str">
        <f t="shared" ref="J24:N24" si="47">VLOOKUP($A24, INDIRECT(J$1&amp;"!A:D"), 4, FALSE)</f>
        <v/>
      </c>
      <c r="K24" s="44" t="str">
        <f t="shared" si="47"/>
        <v/>
      </c>
      <c r="L24" s="44" t="str">
        <f t="shared" si="47"/>
        <v/>
      </c>
      <c r="M24" s="44" t="str">
        <f t="shared" si="47"/>
        <v/>
      </c>
      <c r="N24" s="44" t="str">
        <f t="shared" si="47"/>
        <v/>
      </c>
      <c r="O24" s="43" t="str">
        <f>IFERROR(__xludf.DUMMYFUNCTION("IF(COUNTA(J24:N24)=0, """", ARRAYFORMULA(""- ""&amp;TEXTJOIN(char(10)&amp;""- "", TRUE, FILTER(J$1:N$1&amp;"": ""&amp;J24:N24, NOT(ISBLANK(J24:N24))))))"),"")</f>
        <v/>
      </c>
      <c r="P24" s="43" t="s">
        <v>425</v>
      </c>
      <c r="Q24" s="45" t="b">
        <v>1</v>
      </c>
    </row>
    <row r="25">
      <c r="A25" s="12" t="s">
        <v>138</v>
      </c>
      <c r="B25" s="12" t="s">
        <v>139</v>
      </c>
      <c r="C25" s="46"/>
      <c r="D25" s="42" t="b">
        <f t="shared" ref="D25:H25" si="48">VLOOKUP($A25, INDIRECT(D$1&amp;"!A:C"), 3, FALSE)</f>
        <v>0</v>
      </c>
      <c r="E25" s="42" t="b">
        <f t="shared" si="48"/>
        <v>0</v>
      </c>
      <c r="F25" s="42" t="str">
        <f t="shared" si="48"/>
        <v>TO DO</v>
      </c>
      <c r="G25" s="42" t="b">
        <f t="shared" si="48"/>
        <v>0</v>
      </c>
      <c r="H25" s="42" t="b">
        <f t="shared" si="48"/>
        <v>0</v>
      </c>
      <c r="I25" s="43">
        <f t="shared" si="4"/>
        <v>1</v>
      </c>
      <c r="J25" s="44" t="str">
        <f t="shared" ref="J25:N25" si="49">VLOOKUP($A25, INDIRECT(J$1&amp;"!A:D"), 4, FALSE)</f>
        <v/>
      </c>
      <c r="K25" s="44" t="str">
        <f t="shared" si="49"/>
        <v/>
      </c>
      <c r="L25" s="44" t="str">
        <f t="shared" si="49"/>
        <v/>
      </c>
      <c r="M25" s="44" t="str">
        <f t="shared" si="49"/>
        <v/>
      </c>
      <c r="N25" s="44" t="str">
        <f t="shared" si="49"/>
        <v/>
      </c>
      <c r="O25" s="43" t="str">
        <f>IFERROR(__xludf.DUMMYFUNCTION("IF(COUNTA(J25:N25)=0, """", ARRAYFORMULA(""- ""&amp;TEXTJOIN(char(10)&amp;""- "", TRUE, FILTER(J$1:N$1&amp;"": ""&amp;J25:N25, NOT(ISBLANK(J25:N25))))))"),"")</f>
        <v/>
      </c>
      <c r="P25" s="43" t="s">
        <v>425</v>
      </c>
      <c r="Q25" s="45" t="b">
        <v>0</v>
      </c>
    </row>
    <row r="26">
      <c r="A26" s="12" t="s">
        <v>253</v>
      </c>
      <c r="B26" s="12" t="s">
        <v>254</v>
      </c>
      <c r="C26" s="7"/>
      <c r="D26" s="42" t="b">
        <f t="shared" ref="D26:H26" si="50">VLOOKUP($A26, INDIRECT(D$1&amp;"!A:C"), 3, FALSE)</f>
        <v>0</v>
      </c>
      <c r="E26" s="42" t="str">
        <f t="shared" si="50"/>
        <v>TO DO</v>
      </c>
      <c r="F26" s="42" t="str">
        <f t="shared" si="50"/>
        <v>TO DO</v>
      </c>
      <c r="G26" s="42" t="b">
        <f t="shared" si="50"/>
        <v>0</v>
      </c>
      <c r="H26" s="42" t="b">
        <f t="shared" si="50"/>
        <v>0</v>
      </c>
      <c r="I26" s="43">
        <f t="shared" si="4"/>
        <v>1</v>
      </c>
      <c r="J26" s="44" t="str">
        <f t="shared" ref="J26:N26" si="51">VLOOKUP($A26, INDIRECT(J$1&amp;"!A:D"), 4, FALSE)</f>
        <v/>
      </c>
      <c r="K26" s="44" t="str">
        <f t="shared" si="51"/>
        <v/>
      </c>
      <c r="L26" s="44" t="str">
        <f t="shared" si="51"/>
        <v/>
      </c>
      <c r="M26" s="44" t="str">
        <f t="shared" si="51"/>
        <v/>
      </c>
      <c r="N26" s="44" t="str">
        <f t="shared" si="51"/>
        <v/>
      </c>
      <c r="O26" s="43" t="str">
        <f>IFERROR(__xludf.DUMMYFUNCTION("IF(COUNTA(J26:N26)=0, """", ARRAYFORMULA(""- ""&amp;TEXTJOIN(char(10)&amp;""- "", TRUE, FILTER(J$1:N$1&amp;"": ""&amp;J26:N26, NOT(ISBLANK(J26:N26))))))"),"")</f>
        <v/>
      </c>
      <c r="P26" s="43" t="s">
        <v>425</v>
      </c>
      <c r="Q26" s="45" t="b">
        <v>0</v>
      </c>
    </row>
    <row r="27">
      <c r="A27" s="12" t="s">
        <v>239</v>
      </c>
      <c r="B27" s="12" t="s">
        <v>240</v>
      </c>
      <c r="C27" s="42"/>
      <c r="D27" s="42" t="b">
        <f t="shared" ref="D27:H27" si="52">VLOOKUP($A27, INDIRECT(D$1&amp;"!A:C"), 3, FALSE)</f>
        <v>1</v>
      </c>
      <c r="E27" s="42" t="b">
        <f t="shared" si="52"/>
        <v>1</v>
      </c>
      <c r="F27" s="42" t="str">
        <f t="shared" si="52"/>
        <v>TO DO</v>
      </c>
      <c r="G27" s="42" t="b">
        <f t="shared" si="52"/>
        <v>1</v>
      </c>
      <c r="H27" s="42" t="b">
        <f t="shared" si="52"/>
        <v>1</v>
      </c>
      <c r="I27" s="43">
        <f t="shared" si="4"/>
        <v>1</v>
      </c>
      <c r="J27" s="44" t="str">
        <f t="shared" ref="J27:N27" si="53">VLOOKUP($A27, INDIRECT(J$1&amp;"!A:D"), 4, FALSE)</f>
        <v/>
      </c>
      <c r="K27" s="44" t="str">
        <f t="shared" si="53"/>
        <v/>
      </c>
      <c r="L27" s="44" t="str">
        <f t="shared" si="53"/>
        <v/>
      </c>
      <c r="M27" s="44" t="str">
        <f t="shared" si="53"/>
        <v/>
      </c>
      <c r="N27" s="44" t="str">
        <f t="shared" si="53"/>
        <v/>
      </c>
      <c r="O27" s="43" t="str">
        <f>IFERROR(__xludf.DUMMYFUNCTION("IF(COUNTA(J27:N27)=0, """", ARRAYFORMULA(""- ""&amp;TEXTJOIN(char(10)&amp;""- "", TRUE, FILTER(J$1:N$1&amp;"": ""&amp;J27:N27, NOT(ISBLANK(J27:N27))))))"),"")</f>
        <v/>
      </c>
      <c r="P27" s="43" t="s">
        <v>425</v>
      </c>
      <c r="Q27" s="45" t="b">
        <v>1</v>
      </c>
    </row>
    <row r="28">
      <c r="A28" s="12" t="s">
        <v>196</v>
      </c>
      <c r="B28" s="12" t="s">
        <v>197</v>
      </c>
      <c r="C28" s="46"/>
      <c r="D28" s="42" t="b">
        <f t="shared" ref="D28:H28" si="54">VLOOKUP($A28, INDIRECT(D$1&amp;"!A:C"), 3, FALSE)</f>
        <v>1</v>
      </c>
      <c r="E28" s="42" t="str">
        <f t="shared" si="54"/>
        <v>TO DO</v>
      </c>
      <c r="F28" s="42" t="str">
        <f t="shared" si="54"/>
        <v>TO DO</v>
      </c>
      <c r="G28" s="42" t="b">
        <f t="shared" si="54"/>
        <v>1</v>
      </c>
      <c r="H28" s="42" t="b">
        <f t="shared" si="54"/>
        <v>1</v>
      </c>
      <c r="I28" s="43">
        <f t="shared" si="4"/>
        <v>1</v>
      </c>
      <c r="J28" s="44" t="str">
        <f t="shared" ref="J28:N28" si="55">VLOOKUP($A28, INDIRECT(J$1&amp;"!A:D"), 4, FALSE)</f>
        <v/>
      </c>
      <c r="K28" s="44" t="str">
        <f t="shared" si="55"/>
        <v/>
      </c>
      <c r="L28" s="44" t="str">
        <f t="shared" si="55"/>
        <v/>
      </c>
      <c r="M28" s="44" t="str">
        <f t="shared" si="55"/>
        <v/>
      </c>
      <c r="N28" s="44" t="str">
        <f t="shared" si="55"/>
        <v/>
      </c>
      <c r="O28" s="43" t="str">
        <f>IFERROR(__xludf.DUMMYFUNCTION("IF(COUNTA(J28:N28)=0, """", ARRAYFORMULA(""- ""&amp;TEXTJOIN(char(10)&amp;""- "", TRUE, FILTER(J$1:N$1&amp;"": ""&amp;J28:N28, NOT(ISBLANK(J28:N28))))))"),"")</f>
        <v/>
      </c>
      <c r="P28" s="43" t="s">
        <v>425</v>
      </c>
      <c r="Q28" s="45" t="b">
        <v>1</v>
      </c>
    </row>
    <row r="29">
      <c r="A29" s="12" t="s">
        <v>89</v>
      </c>
      <c r="B29" s="12" t="s">
        <v>90</v>
      </c>
      <c r="C29" s="46"/>
      <c r="D29" s="42" t="b">
        <f t="shared" ref="D29:H29" si="56">VLOOKUP($A29, INDIRECT(D$1&amp;"!A:C"), 3, FALSE)</f>
        <v>0</v>
      </c>
      <c r="E29" s="42" t="str">
        <f t="shared" si="56"/>
        <v>TO DO</v>
      </c>
      <c r="F29" s="42" t="str">
        <f t="shared" si="56"/>
        <v>TO DO</v>
      </c>
      <c r="G29" s="42" t="b">
        <f t="shared" si="56"/>
        <v>0</v>
      </c>
      <c r="H29" s="42" t="b">
        <f t="shared" si="56"/>
        <v>0</v>
      </c>
      <c r="I29" s="43">
        <f t="shared" si="4"/>
        <v>1</v>
      </c>
      <c r="J29" s="44" t="str">
        <f t="shared" ref="J29:N29" si="57">VLOOKUP($A29, INDIRECT(J$1&amp;"!A:D"), 4, FALSE)</f>
        <v/>
      </c>
      <c r="K29" s="44" t="str">
        <f t="shared" si="57"/>
        <v/>
      </c>
      <c r="L29" s="44" t="str">
        <f t="shared" si="57"/>
        <v/>
      </c>
      <c r="M29" s="44" t="str">
        <f t="shared" si="57"/>
        <v/>
      </c>
      <c r="N29" s="44" t="str">
        <f t="shared" si="57"/>
        <v>water only marginally mentioned</v>
      </c>
      <c r="O29" s="43" t="str">
        <f>IFERROR(__xludf.DUMMYFUNCTION("IF(COUNTA(J29:N29)=0, """", ARRAYFORMULA(""- ""&amp;TEXTJOIN(char(10)&amp;""- "", TRUE, FILTER(J$1:N$1&amp;"": ""&amp;J29:N29, NOT(ISBLANK(J29:N29))))))"),"- Steve: water only marginally mentioned")</f>
        <v>- Steve: water only marginally mentioned</v>
      </c>
      <c r="P29" s="43" t="s">
        <v>442</v>
      </c>
      <c r="Q29" s="45" t="b">
        <v>0</v>
      </c>
    </row>
    <row r="30">
      <c r="A30" s="12" t="s">
        <v>95</v>
      </c>
      <c r="B30" s="12" t="s">
        <v>96</v>
      </c>
      <c r="C30" s="7"/>
      <c r="D30" s="42" t="b">
        <f t="shared" ref="D30:H30" si="58">VLOOKUP($A30, INDIRECT(D$1&amp;"!A:C"), 3, FALSE)</f>
        <v>1</v>
      </c>
      <c r="E30" s="42" t="str">
        <f t="shared" si="58"/>
        <v>TO DO</v>
      </c>
      <c r="F30" s="42" t="str">
        <f t="shared" si="58"/>
        <v>TO DO</v>
      </c>
      <c r="G30" s="42" t="b">
        <f t="shared" si="58"/>
        <v>1</v>
      </c>
      <c r="H30" s="42" t="b">
        <f t="shared" si="58"/>
        <v>1</v>
      </c>
      <c r="I30" s="43">
        <f t="shared" si="4"/>
        <v>1</v>
      </c>
      <c r="J30" s="44" t="str">
        <f t="shared" ref="J30:N30" si="59">VLOOKUP($A30, INDIRECT(J$1&amp;"!A:D"), 4, FALSE)</f>
        <v/>
      </c>
      <c r="K30" s="44" t="str">
        <f t="shared" si="59"/>
        <v/>
      </c>
      <c r="L30" s="44" t="str">
        <f t="shared" si="59"/>
        <v/>
      </c>
      <c r="M30" s="44" t="str">
        <f t="shared" si="59"/>
        <v/>
      </c>
      <c r="N30" s="44" t="str">
        <f t="shared" si="59"/>
        <v/>
      </c>
      <c r="O30" s="43" t="str">
        <f>IFERROR(__xludf.DUMMYFUNCTION("IF(COUNTA(J30:N30)=0, """", ARRAYFORMULA(""- ""&amp;TEXTJOIN(char(10)&amp;""- "", TRUE, FILTER(J$1:N$1&amp;"": ""&amp;J30:N30, NOT(ISBLANK(J30:N30))))))"),"")</f>
        <v/>
      </c>
      <c r="P30" s="43" t="s">
        <v>425</v>
      </c>
      <c r="Q30" s="45" t="b">
        <v>1</v>
      </c>
    </row>
    <row r="31">
      <c r="A31" s="12" t="s">
        <v>97</v>
      </c>
      <c r="B31" s="12" t="s">
        <v>98</v>
      </c>
      <c r="C31" s="42"/>
      <c r="D31" s="42" t="b">
        <f t="shared" ref="D31:H31" si="60">VLOOKUP($A31, INDIRECT(D$1&amp;"!A:C"), 3, FALSE)</f>
        <v>0</v>
      </c>
      <c r="E31" s="42" t="b">
        <f t="shared" si="60"/>
        <v>0</v>
      </c>
      <c r="F31" s="42" t="str">
        <f t="shared" si="60"/>
        <v>TO DO</v>
      </c>
      <c r="G31" s="42" t="b">
        <f t="shared" si="60"/>
        <v>0</v>
      </c>
      <c r="H31" s="42" t="b">
        <f t="shared" si="60"/>
        <v>0</v>
      </c>
      <c r="I31" s="43">
        <f t="shared" si="4"/>
        <v>1</v>
      </c>
      <c r="J31" s="44" t="str">
        <f t="shared" ref="J31:N31" si="61">VLOOKUP($A31, INDIRECT(J$1&amp;"!A:D"), 4, FALSE)</f>
        <v/>
      </c>
      <c r="K31" s="44" t="str">
        <f t="shared" si="61"/>
        <v>not specific on water</v>
      </c>
      <c r="L31" s="44" t="str">
        <f t="shared" si="61"/>
        <v/>
      </c>
      <c r="M31" s="44" t="str">
        <f t="shared" si="61"/>
        <v/>
      </c>
      <c r="N31" s="44" t="str">
        <f t="shared" si="61"/>
        <v/>
      </c>
      <c r="O31" s="43" t="str">
        <f>IFERROR(__xludf.DUMMYFUNCTION("IF(COUNTA(J31:N31)=0, """", ARRAYFORMULA(""- ""&amp;TEXTJOIN(char(10)&amp;""- "", TRUE, FILTER(J$1:N$1&amp;"": ""&amp;J31:N31, NOT(ISBLANK(J31:N31))))))"),"- Gib: not specific on water")</f>
        <v>- Gib: not specific on water</v>
      </c>
      <c r="P31" s="43" t="s">
        <v>443</v>
      </c>
      <c r="Q31" s="45" t="b">
        <v>0</v>
      </c>
    </row>
    <row r="32">
      <c r="A32" s="12" t="s">
        <v>269</v>
      </c>
      <c r="B32" s="12" t="s">
        <v>270</v>
      </c>
      <c r="C32" s="46"/>
      <c r="D32" s="42" t="b">
        <f t="shared" ref="D32:H32" si="62">VLOOKUP($A32, INDIRECT(D$1&amp;"!A:C"), 3, FALSE)</f>
        <v>0</v>
      </c>
      <c r="E32" s="42" t="str">
        <f t="shared" si="62"/>
        <v>TO DO</v>
      </c>
      <c r="F32" s="42" t="str">
        <f t="shared" si="62"/>
        <v>TO DO</v>
      </c>
      <c r="G32" s="42" t="b">
        <f t="shared" si="62"/>
        <v>0</v>
      </c>
      <c r="H32" s="42" t="b">
        <f t="shared" si="62"/>
        <v>0</v>
      </c>
      <c r="I32" s="43">
        <f t="shared" si="4"/>
        <v>1</v>
      </c>
      <c r="J32" s="44" t="str">
        <f t="shared" ref="J32:N32" si="63">VLOOKUP($A32, INDIRECT(J$1&amp;"!A:D"), 4, FALSE)</f>
        <v/>
      </c>
      <c r="K32" s="44" t="str">
        <f t="shared" si="63"/>
        <v/>
      </c>
      <c r="L32" s="44" t="str">
        <f t="shared" si="63"/>
        <v/>
      </c>
      <c r="M32" s="44" t="str">
        <f t="shared" si="63"/>
        <v/>
      </c>
      <c r="N32" s="44" t="str">
        <f t="shared" si="63"/>
        <v/>
      </c>
      <c r="O32" s="43" t="str">
        <f>IFERROR(__xludf.DUMMYFUNCTION("IF(COUNTA(J32:N32)=0, """", ARRAYFORMULA(""- ""&amp;TEXTJOIN(char(10)&amp;""- "", TRUE, FILTER(J$1:N$1&amp;"": ""&amp;J32:N32, NOT(ISBLANK(J32:N32))))))"),"")</f>
        <v/>
      </c>
      <c r="P32" s="43" t="s">
        <v>425</v>
      </c>
      <c r="Q32" s="45" t="b">
        <v>0</v>
      </c>
    </row>
    <row r="33">
      <c r="A33" s="12" t="s">
        <v>202</v>
      </c>
      <c r="B33" s="12" t="s">
        <v>203</v>
      </c>
      <c r="C33" s="46"/>
      <c r="D33" s="42" t="b">
        <f t="shared" ref="D33:H33" si="64">VLOOKUP($A33, INDIRECT(D$1&amp;"!A:C"), 3, FALSE)</f>
        <v>0</v>
      </c>
      <c r="E33" s="42" t="str">
        <f t="shared" si="64"/>
        <v>TO DO</v>
      </c>
      <c r="F33" s="42" t="str">
        <f t="shared" si="64"/>
        <v>TO DO</v>
      </c>
      <c r="G33" s="42" t="b">
        <f t="shared" si="64"/>
        <v>0</v>
      </c>
      <c r="H33" s="42" t="b">
        <f t="shared" si="64"/>
        <v>0</v>
      </c>
      <c r="I33" s="43">
        <f t="shared" si="4"/>
        <v>1</v>
      </c>
      <c r="J33" s="44" t="str">
        <f t="shared" ref="J33:N33" si="65">VLOOKUP($A33, INDIRECT(J$1&amp;"!A:D"), 4, FALSE)</f>
        <v/>
      </c>
      <c r="K33" s="44" t="str">
        <f t="shared" si="65"/>
        <v/>
      </c>
      <c r="L33" s="44" t="str">
        <f t="shared" si="65"/>
        <v/>
      </c>
      <c r="M33" s="44" t="str">
        <f t="shared" si="65"/>
        <v/>
      </c>
      <c r="N33" s="44" t="str">
        <f t="shared" si="65"/>
        <v/>
      </c>
      <c r="O33" s="43" t="str">
        <f>IFERROR(__xludf.DUMMYFUNCTION("IF(COUNTA(J33:N33)=0, """", ARRAYFORMULA(""- ""&amp;TEXTJOIN(char(10)&amp;""- "", TRUE, FILTER(J$1:N$1&amp;"": ""&amp;J33:N33, NOT(ISBLANK(J33:N33))))))"),"")</f>
        <v/>
      </c>
      <c r="P33" s="43" t="s">
        <v>425</v>
      </c>
      <c r="Q33" s="45" t="b">
        <v>0</v>
      </c>
    </row>
    <row r="34">
      <c r="A34" s="12" t="s">
        <v>99</v>
      </c>
      <c r="B34" s="12" t="s">
        <v>100</v>
      </c>
      <c r="C34" s="46"/>
      <c r="D34" s="42" t="b">
        <f t="shared" ref="D34:H34" si="66">VLOOKUP($A34, INDIRECT(D$1&amp;"!A:C"), 3, FALSE)</f>
        <v>1</v>
      </c>
      <c r="E34" s="42" t="b">
        <f t="shared" si="66"/>
        <v>1</v>
      </c>
      <c r="F34" s="42" t="str">
        <f t="shared" si="66"/>
        <v>TO DO</v>
      </c>
      <c r="G34" s="42" t="b">
        <f t="shared" si="66"/>
        <v>1</v>
      </c>
      <c r="H34" s="42" t="b">
        <f t="shared" si="66"/>
        <v>1</v>
      </c>
      <c r="I34" s="43">
        <f t="shared" si="4"/>
        <v>1</v>
      </c>
      <c r="J34" s="44" t="str">
        <f t="shared" ref="J34:N34" si="67">VLOOKUP($A34, INDIRECT(J$1&amp;"!A:D"), 4, FALSE)</f>
        <v/>
      </c>
      <c r="K34" s="44" t="str">
        <f t="shared" si="67"/>
        <v/>
      </c>
      <c r="L34" s="44" t="str">
        <f t="shared" si="67"/>
        <v/>
      </c>
      <c r="M34" s="44" t="str">
        <f t="shared" si="67"/>
        <v/>
      </c>
      <c r="N34" s="44" t="str">
        <f t="shared" si="67"/>
        <v/>
      </c>
      <c r="O34" s="43" t="str">
        <f>IFERROR(__xludf.DUMMYFUNCTION("IF(COUNTA(J34:N34)=0, """", ARRAYFORMULA(""- ""&amp;TEXTJOIN(char(10)&amp;""- "", TRUE, FILTER(J$1:N$1&amp;"": ""&amp;J34:N34, NOT(ISBLANK(J34:N34))))))"),"")</f>
        <v/>
      </c>
      <c r="P34" s="43" t="s">
        <v>425</v>
      </c>
      <c r="Q34" s="45" t="b">
        <v>1</v>
      </c>
    </row>
    <row r="35">
      <c r="A35" s="12" t="s">
        <v>167</v>
      </c>
      <c r="B35" s="12" t="s">
        <v>168</v>
      </c>
      <c r="C35" s="47"/>
      <c r="D35" s="42" t="b">
        <f t="shared" ref="D35:H35" si="68">VLOOKUP($A35, INDIRECT(D$1&amp;"!A:C"), 3, FALSE)</f>
        <v>1</v>
      </c>
      <c r="E35" s="42" t="str">
        <f t="shared" si="68"/>
        <v>TO DO</v>
      </c>
      <c r="F35" s="42" t="str">
        <f t="shared" si="68"/>
        <v>TO DO</v>
      </c>
      <c r="G35" s="42" t="b">
        <f t="shared" si="68"/>
        <v>1</v>
      </c>
      <c r="H35" s="42" t="b">
        <f t="shared" si="68"/>
        <v>1</v>
      </c>
      <c r="I35" s="43">
        <f t="shared" si="4"/>
        <v>1</v>
      </c>
      <c r="J35" s="44" t="str">
        <f t="shared" ref="J35:N35" si="69">VLOOKUP($A35, INDIRECT(J$1&amp;"!A:D"), 4, FALSE)</f>
        <v/>
      </c>
      <c r="K35" s="44" t="str">
        <f t="shared" si="69"/>
        <v/>
      </c>
      <c r="L35" s="44" t="str">
        <f t="shared" si="69"/>
        <v/>
      </c>
      <c r="M35" s="44" t="str">
        <f t="shared" si="69"/>
        <v/>
      </c>
      <c r="N35" s="44" t="str">
        <f t="shared" si="69"/>
        <v/>
      </c>
      <c r="O35" s="43" t="str">
        <f>IFERROR(__xludf.DUMMYFUNCTION("IF(COUNTA(J35:N35)=0, """", ARRAYFORMULA(""- ""&amp;TEXTJOIN(char(10)&amp;""- "", TRUE, FILTER(J$1:N$1&amp;"": ""&amp;J35:N35, NOT(ISBLANK(J35:N35))))))"),"")</f>
        <v/>
      </c>
      <c r="P35" s="43" t="s">
        <v>425</v>
      </c>
      <c r="Q35" s="45" t="b">
        <v>1</v>
      </c>
    </row>
    <row r="36">
      <c r="A36" s="12" t="s">
        <v>72</v>
      </c>
      <c r="B36" s="12" t="s">
        <v>73</v>
      </c>
      <c r="C36" s="42"/>
      <c r="D36" s="42" t="b">
        <f t="shared" ref="D36:H36" si="70">VLOOKUP($A36, INDIRECT(D$1&amp;"!A:C"), 3, FALSE)</f>
        <v>0</v>
      </c>
      <c r="E36" s="42" t="str">
        <f t="shared" si="70"/>
        <v>TO DO</v>
      </c>
      <c r="F36" s="42" t="str">
        <f t="shared" si="70"/>
        <v>TO DO</v>
      </c>
      <c r="G36" s="42" t="b">
        <f t="shared" si="70"/>
        <v>0</v>
      </c>
      <c r="H36" s="42" t="b">
        <f t="shared" si="70"/>
        <v>0</v>
      </c>
      <c r="I36" s="43">
        <f t="shared" si="4"/>
        <v>1</v>
      </c>
      <c r="J36" s="44" t="str">
        <f t="shared" ref="J36:N36" si="71">VLOOKUP($A36, INDIRECT(J$1&amp;"!A:D"), 4, FALSE)</f>
        <v/>
      </c>
      <c r="K36" s="44" t="str">
        <f t="shared" si="71"/>
        <v/>
      </c>
      <c r="L36" s="44" t="str">
        <f t="shared" si="71"/>
        <v/>
      </c>
      <c r="M36" s="44" t="str">
        <f t="shared" si="71"/>
        <v/>
      </c>
      <c r="N36" s="44" t="str">
        <f t="shared" si="71"/>
        <v/>
      </c>
      <c r="O36" s="43" t="str">
        <f>IFERROR(__xludf.DUMMYFUNCTION("IF(COUNTA(J36:N36)=0, """", ARRAYFORMULA(""- ""&amp;TEXTJOIN(char(10)&amp;""- "", TRUE, FILTER(J$1:N$1&amp;"": ""&amp;J36:N36, NOT(ISBLANK(J36:N36))))))"),"")</f>
        <v/>
      </c>
      <c r="P36" s="43" t="s">
        <v>425</v>
      </c>
      <c r="Q36" s="45" t="b">
        <v>0</v>
      </c>
    </row>
    <row r="37">
      <c r="A37" s="12" t="s">
        <v>225</v>
      </c>
      <c r="B37" s="12" t="s">
        <v>226</v>
      </c>
      <c r="C37" s="42"/>
      <c r="D37" s="42" t="b">
        <f t="shared" ref="D37:H37" si="72">VLOOKUP($A37, INDIRECT(D$1&amp;"!A:C"), 3, FALSE)</f>
        <v>1</v>
      </c>
      <c r="E37" s="42" t="b">
        <f t="shared" si="72"/>
        <v>1</v>
      </c>
      <c r="F37" s="42" t="str">
        <f t="shared" si="72"/>
        <v>TO DO</v>
      </c>
      <c r="G37" s="42" t="b">
        <f t="shared" si="72"/>
        <v>1</v>
      </c>
      <c r="H37" s="42" t="b">
        <f t="shared" si="72"/>
        <v>1</v>
      </c>
      <c r="I37" s="43">
        <f t="shared" si="4"/>
        <v>1</v>
      </c>
      <c r="J37" s="44" t="str">
        <f t="shared" ref="J37:N37" si="73">VLOOKUP($A37, INDIRECT(J$1&amp;"!A:D"), 4, FALSE)</f>
        <v/>
      </c>
      <c r="K37" s="44" t="str">
        <f t="shared" si="73"/>
        <v/>
      </c>
      <c r="L37" s="44" t="str">
        <f t="shared" si="73"/>
        <v/>
      </c>
      <c r="M37" s="44" t="str">
        <f t="shared" si="73"/>
        <v>seems mmore fact stating, but about the value-laden access to water</v>
      </c>
      <c r="N37" s="44" t="str">
        <f t="shared" si="73"/>
        <v/>
      </c>
      <c r="O37" s="43" t="str">
        <f>IFERROR(__xludf.DUMMYFUNCTION("IF(COUNTA(J37:N37)=0, """", ARRAYFORMULA(""- ""&amp;TEXTJOIN(char(10)&amp;""- "", TRUE, FILTER(J$1:N$1&amp;"": ""&amp;J37:N37, NOT(ISBLANK(J37:N37))))))"),"- Meike: seems mmore fact stating, but about the value-laden access to water")</f>
        <v>- Meike: seems mmore fact stating, but about the value-laden access to water</v>
      </c>
      <c r="P37" s="43" t="s">
        <v>444</v>
      </c>
      <c r="Q37" s="45" t="b">
        <v>1</v>
      </c>
    </row>
    <row r="38">
      <c r="A38" s="12" t="s">
        <v>134</v>
      </c>
      <c r="B38" s="12" t="s">
        <v>135</v>
      </c>
      <c r="C38" s="7"/>
      <c r="D38" s="42" t="b">
        <f t="shared" ref="D38:H38" si="74">VLOOKUP($A38, INDIRECT(D$1&amp;"!A:C"), 3, FALSE)</f>
        <v>0</v>
      </c>
      <c r="E38" s="42" t="b">
        <f t="shared" si="74"/>
        <v>0</v>
      </c>
      <c r="F38" s="42" t="str">
        <f t="shared" si="74"/>
        <v>TO DO</v>
      </c>
      <c r="G38" s="42" t="b">
        <f t="shared" si="74"/>
        <v>0</v>
      </c>
      <c r="H38" s="42" t="b">
        <f t="shared" si="74"/>
        <v>0</v>
      </c>
      <c r="I38" s="43">
        <f t="shared" si="4"/>
        <v>1</v>
      </c>
      <c r="J38" s="44" t="str">
        <f t="shared" ref="J38:N38" si="75">VLOOKUP($A38, INDIRECT(J$1&amp;"!A:D"), 4, FALSE)</f>
        <v/>
      </c>
      <c r="K38" s="44" t="str">
        <f t="shared" si="75"/>
        <v/>
      </c>
      <c r="L38" s="44" t="str">
        <f t="shared" si="75"/>
        <v/>
      </c>
      <c r="M38" s="44" t="str">
        <f t="shared" si="75"/>
        <v/>
      </c>
      <c r="N38" s="44" t="str">
        <f t="shared" si="75"/>
        <v/>
      </c>
      <c r="O38" s="43" t="str">
        <f>IFERROR(__xludf.DUMMYFUNCTION("IF(COUNTA(J38:N38)=0, """", ARRAYFORMULA(""- ""&amp;TEXTJOIN(char(10)&amp;""- "", TRUE, FILTER(J$1:N$1&amp;"": ""&amp;J38:N38, NOT(ISBLANK(J38:N38))))))"),"")</f>
        <v/>
      </c>
      <c r="P38" s="43" t="s">
        <v>425</v>
      </c>
      <c r="Q38" s="45" t="b">
        <v>0</v>
      </c>
    </row>
    <row r="39">
      <c r="A39" s="12" t="s">
        <v>177</v>
      </c>
      <c r="B39" s="12" t="s">
        <v>178</v>
      </c>
      <c r="C39" s="46"/>
      <c r="D39" s="42" t="b">
        <f t="shared" ref="D39:H39" si="76">VLOOKUP($A39, INDIRECT(D$1&amp;"!A:C"), 3, FALSE)</f>
        <v>1</v>
      </c>
      <c r="E39" s="42" t="str">
        <f t="shared" si="76"/>
        <v>TO DO</v>
      </c>
      <c r="F39" s="42" t="str">
        <f t="shared" si="76"/>
        <v>TO DO</v>
      </c>
      <c r="G39" s="42" t="b">
        <f t="shared" si="76"/>
        <v>1</v>
      </c>
      <c r="H39" s="42" t="b">
        <f t="shared" si="76"/>
        <v>1</v>
      </c>
      <c r="I39" s="43">
        <f t="shared" si="4"/>
        <v>1</v>
      </c>
      <c r="J39" s="44" t="str">
        <f t="shared" ref="J39:N39" si="77">VLOOKUP($A39, INDIRECT(J$1&amp;"!A:D"), 4, FALSE)</f>
        <v/>
      </c>
      <c r="K39" s="44" t="str">
        <f t="shared" si="77"/>
        <v/>
      </c>
      <c r="L39" s="44" t="str">
        <f t="shared" si="77"/>
        <v/>
      </c>
      <c r="M39" s="44" t="str">
        <f t="shared" si="77"/>
        <v/>
      </c>
      <c r="N39" s="44" t="str">
        <f t="shared" si="77"/>
        <v/>
      </c>
      <c r="O39" s="43" t="str">
        <f>IFERROR(__xludf.DUMMYFUNCTION("IF(COUNTA(J39:N39)=0, """", ARRAYFORMULA(""- ""&amp;TEXTJOIN(char(10)&amp;""- "", TRUE, FILTER(J$1:N$1&amp;"": ""&amp;J39:N39, NOT(ISBLANK(J39:N39))))))"),"")</f>
        <v/>
      </c>
      <c r="P39" s="43" t="s">
        <v>425</v>
      </c>
      <c r="Q39" s="45" t="b">
        <v>1</v>
      </c>
    </row>
    <row r="40">
      <c r="A40" s="12" t="s">
        <v>190</v>
      </c>
      <c r="B40" s="12" t="s">
        <v>191</v>
      </c>
      <c r="C40" s="42"/>
      <c r="D40" s="42" t="b">
        <f t="shared" ref="D40:H40" si="78">VLOOKUP($A40, INDIRECT(D$1&amp;"!A:C"), 3, FALSE)</f>
        <v>0</v>
      </c>
      <c r="E40" s="42" t="str">
        <f t="shared" si="78"/>
        <v>TO DO</v>
      </c>
      <c r="F40" s="42" t="str">
        <f t="shared" si="78"/>
        <v>TO DO</v>
      </c>
      <c r="G40" s="42" t="b">
        <f t="shared" si="78"/>
        <v>0</v>
      </c>
      <c r="H40" s="42" t="b">
        <f t="shared" si="78"/>
        <v>0</v>
      </c>
      <c r="I40" s="43">
        <f t="shared" si="4"/>
        <v>1</v>
      </c>
      <c r="J40" s="44" t="str">
        <f t="shared" ref="J40:N40" si="79">VLOOKUP($A40, INDIRECT(J$1&amp;"!A:D"), 4, FALSE)</f>
        <v/>
      </c>
      <c r="K40" s="44" t="str">
        <f t="shared" si="79"/>
        <v/>
      </c>
      <c r="L40" s="44" t="str">
        <f t="shared" si="79"/>
        <v/>
      </c>
      <c r="M40" s="44" t="str">
        <f t="shared" si="79"/>
        <v/>
      </c>
      <c r="N40" s="44" t="str">
        <f t="shared" si="79"/>
        <v/>
      </c>
      <c r="O40" s="43" t="str">
        <f>IFERROR(__xludf.DUMMYFUNCTION("IF(COUNTA(J40:N40)=0, """", ARRAYFORMULA(""- ""&amp;TEXTJOIN(char(10)&amp;""- "", TRUE, FILTER(J$1:N$1&amp;"": ""&amp;J40:N40, NOT(ISBLANK(J40:N40))))))"),"")</f>
        <v/>
      </c>
      <c r="P40" s="43" t="s">
        <v>425</v>
      </c>
      <c r="Q40" s="45" t="b">
        <v>0</v>
      </c>
    </row>
    <row r="41">
      <c r="A41" s="12" t="s">
        <v>81</v>
      </c>
      <c r="B41" s="12" t="s">
        <v>82</v>
      </c>
      <c r="C41" s="7"/>
      <c r="D41" s="42" t="b">
        <f t="shared" ref="D41:H41" si="80">VLOOKUP($A41, INDIRECT(D$1&amp;"!A:C"), 3, FALSE)</f>
        <v>1</v>
      </c>
      <c r="E41" s="42" t="str">
        <f t="shared" si="80"/>
        <v>TO DO</v>
      </c>
      <c r="F41" s="42" t="str">
        <f t="shared" si="80"/>
        <v>TO DO</v>
      </c>
      <c r="G41" s="42" t="b">
        <f t="shared" si="80"/>
        <v>1</v>
      </c>
      <c r="H41" s="42" t="b">
        <f t="shared" si="80"/>
        <v>1</v>
      </c>
      <c r="I41" s="43">
        <f t="shared" si="4"/>
        <v>1</v>
      </c>
      <c r="J41" s="44" t="str">
        <f t="shared" ref="J41:N41" si="81">VLOOKUP($A41, INDIRECT(J$1&amp;"!A:D"), 4, FALSE)</f>
        <v/>
      </c>
      <c r="K41" s="44" t="str">
        <f t="shared" si="81"/>
        <v/>
      </c>
      <c r="L41" s="44" t="str">
        <f t="shared" si="81"/>
        <v/>
      </c>
      <c r="M41" s="44" t="str">
        <f t="shared" si="81"/>
        <v/>
      </c>
      <c r="N41" s="44" t="str">
        <f t="shared" si="81"/>
        <v/>
      </c>
      <c r="O41" s="43" t="str">
        <f>IFERROR(__xludf.DUMMYFUNCTION("IF(COUNTA(J41:N41)=0, """", ARRAYFORMULA(""- ""&amp;TEXTJOIN(char(10)&amp;""- "", TRUE, FILTER(J$1:N$1&amp;"": ""&amp;J41:N41, NOT(ISBLANK(J41:N41))))))"),"")</f>
        <v/>
      </c>
      <c r="P41" s="43" t="s">
        <v>425</v>
      </c>
      <c r="Q41" s="45" t="b">
        <v>1</v>
      </c>
    </row>
    <row r="42">
      <c r="A42" s="12" t="s">
        <v>159</v>
      </c>
      <c r="B42" s="12" t="s">
        <v>160</v>
      </c>
      <c r="C42" s="46"/>
      <c r="D42" s="42" t="b">
        <f t="shared" ref="D42:H42" si="82">VLOOKUP($A42, INDIRECT(D$1&amp;"!A:C"), 3, FALSE)</f>
        <v>1</v>
      </c>
      <c r="E42" s="42" t="b">
        <f t="shared" si="82"/>
        <v>1</v>
      </c>
      <c r="F42" s="42" t="str">
        <f t="shared" si="82"/>
        <v>TO DO</v>
      </c>
      <c r="G42" s="42" t="b">
        <f t="shared" si="82"/>
        <v>1</v>
      </c>
      <c r="H42" s="42" t="b">
        <f t="shared" si="82"/>
        <v>1</v>
      </c>
      <c r="I42" s="43">
        <f t="shared" si="4"/>
        <v>1</v>
      </c>
      <c r="J42" s="44" t="str">
        <f t="shared" ref="J42:N42" si="83">VLOOKUP($A42, INDIRECT(J$1&amp;"!A:D"), 4, FALSE)</f>
        <v/>
      </c>
      <c r="K42" s="44" t="str">
        <f t="shared" si="83"/>
        <v/>
      </c>
      <c r="L42" s="44" t="str">
        <f t="shared" si="83"/>
        <v/>
      </c>
      <c r="M42" s="44" t="str">
        <f t="shared" si="83"/>
        <v/>
      </c>
      <c r="N42" s="44" t="str">
        <f t="shared" si="83"/>
        <v/>
      </c>
      <c r="O42" s="43" t="str">
        <f>IFERROR(__xludf.DUMMYFUNCTION("IF(COUNTA(J42:N42)=0, """", ARRAYFORMULA(""- ""&amp;TEXTJOIN(char(10)&amp;""- "", TRUE, FILTER(J$1:N$1&amp;"": ""&amp;J42:N42, NOT(ISBLANK(J42:N42))))))"),"")</f>
        <v/>
      </c>
      <c r="P42" s="43" t="s">
        <v>425</v>
      </c>
      <c r="Q42" s="45" t="b">
        <v>1</v>
      </c>
    </row>
    <row r="43">
      <c r="A43" s="12" t="s">
        <v>185</v>
      </c>
      <c r="B43" s="12" t="s">
        <v>289</v>
      </c>
      <c r="C43" s="46"/>
      <c r="D43" s="42" t="b">
        <f t="shared" ref="D43:H43" si="84">VLOOKUP($A43, INDIRECT(D$1&amp;"!A:C"), 3, FALSE)</f>
        <v>0</v>
      </c>
      <c r="E43" s="42" t="b">
        <f t="shared" si="84"/>
        <v>0</v>
      </c>
      <c r="F43" s="42" t="str">
        <f t="shared" si="84"/>
        <v>TO DO</v>
      </c>
      <c r="G43" s="42" t="b">
        <f t="shared" si="84"/>
        <v>0</v>
      </c>
      <c r="H43" s="42" t="b">
        <f t="shared" si="84"/>
        <v>0</v>
      </c>
      <c r="I43" s="43">
        <f t="shared" si="4"/>
        <v>1</v>
      </c>
      <c r="J43" s="44" t="str">
        <f t="shared" ref="J43:N43" si="85">VLOOKUP($A43, INDIRECT(J$1&amp;"!A:D"), 4, FALSE)</f>
        <v/>
      </c>
      <c r="K43" s="44" t="str">
        <f t="shared" si="85"/>
        <v/>
      </c>
      <c r="L43" s="44" t="str">
        <f t="shared" si="85"/>
        <v/>
      </c>
      <c r="M43" s="44" t="str">
        <f t="shared" si="85"/>
        <v/>
      </c>
      <c r="N43" s="44" t="str">
        <f t="shared" si="85"/>
        <v>not clear remediation of what? </v>
      </c>
      <c r="O43" s="43" t="str">
        <f>IFERROR(__xludf.DUMMYFUNCTION("IF(COUNTA(J43:N43)=0, """", ARRAYFORMULA(""- ""&amp;TEXTJOIN(char(10)&amp;""- "", TRUE, FILTER(J$1:N$1&amp;"": ""&amp;J43:N43, NOT(ISBLANK(J43:N43))))))"),"- Steve: not clear remediation of what? ")</f>
        <v>- Steve: not clear remediation of what? </v>
      </c>
      <c r="P43" s="43" t="s">
        <v>445</v>
      </c>
      <c r="Q43" s="45" t="b">
        <v>0</v>
      </c>
    </row>
    <row r="44">
      <c r="A44" s="12" t="s">
        <v>171</v>
      </c>
      <c r="B44" s="12" t="s">
        <v>172</v>
      </c>
      <c r="C44" s="42"/>
      <c r="D44" s="42" t="b">
        <f t="shared" ref="D44:H44" si="86">VLOOKUP($A44, INDIRECT(D$1&amp;"!A:C"), 3, FALSE)</f>
        <v>0</v>
      </c>
      <c r="E44" s="42" t="str">
        <f t="shared" si="86"/>
        <v>TO DO</v>
      </c>
      <c r="F44" s="42" t="str">
        <f t="shared" si="86"/>
        <v>TO DO</v>
      </c>
      <c r="G44" s="42" t="b">
        <f t="shared" si="86"/>
        <v>0</v>
      </c>
      <c r="H44" s="42" t="b">
        <f t="shared" si="86"/>
        <v>0</v>
      </c>
      <c r="I44" s="43">
        <f t="shared" si="4"/>
        <v>1</v>
      </c>
      <c r="J44" s="44" t="str">
        <f t="shared" ref="J44:N44" si="87">VLOOKUP($A44, INDIRECT(J$1&amp;"!A:D"), 4, FALSE)</f>
        <v/>
      </c>
      <c r="K44" s="44" t="str">
        <f t="shared" si="87"/>
        <v/>
      </c>
      <c r="L44" s="44" t="str">
        <f t="shared" si="87"/>
        <v/>
      </c>
      <c r="M44" s="44" t="str">
        <f t="shared" si="87"/>
        <v/>
      </c>
      <c r="N44" s="44" t="str">
        <f t="shared" si="87"/>
        <v/>
      </c>
      <c r="O44" s="43" t="str">
        <f>IFERROR(__xludf.DUMMYFUNCTION("IF(COUNTA(J44:N44)=0, """", ARRAYFORMULA(""- ""&amp;TEXTJOIN(char(10)&amp;""- "", TRUE, FILTER(J$1:N$1&amp;"": ""&amp;J44:N44, NOT(ISBLANK(J44:N44))))))"),"")</f>
        <v/>
      </c>
      <c r="P44" s="43" t="s">
        <v>425</v>
      </c>
      <c r="Q44" s="45" t="b">
        <v>0</v>
      </c>
    </row>
    <row r="45">
      <c r="A45" s="12" t="s">
        <v>150</v>
      </c>
      <c r="B45" s="12" t="s">
        <v>151</v>
      </c>
      <c r="C45" s="47" t="s">
        <v>437</v>
      </c>
      <c r="D45" s="42" t="b">
        <f t="shared" ref="D45:H45" si="88">VLOOKUP($A45, INDIRECT(D$1&amp;"!A:C"), 3, FALSE)</f>
        <v>0</v>
      </c>
      <c r="E45" s="42" t="b">
        <f t="shared" si="88"/>
        <v>0</v>
      </c>
      <c r="F45" s="42" t="str">
        <f t="shared" si="88"/>
        <v>TO DO</v>
      </c>
      <c r="G45" s="42" t="b">
        <f t="shared" si="88"/>
        <v>1</v>
      </c>
      <c r="H45" s="42" t="b">
        <f t="shared" si="88"/>
        <v>1</v>
      </c>
      <c r="I45" s="43">
        <f t="shared" si="4"/>
        <v>0</v>
      </c>
      <c r="J45" s="44" t="str">
        <f t="shared" ref="J45:N45" si="89">VLOOKUP($A45, INDIRECT(J$1&amp;"!A:D"), 4, FALSE)</f>
        <v/>
      </c>
      <c r="K45" s="44" t="str">
        <f t="shared" si="89"/>
        <v/>
      </c>
      <c r="L45" s="44" t="str">
        <f t="shared" si="89"/>
        <v/>
      </c>
      <c r="M45" s="44" t="str">
        <f t="shared" si="89"/>
        <v>not really about equatic ecosystems </v>
      </c>
      <c r="N45" s="44" t="str">
        <f t="shared" si="89"/>
        <v/>
      </c>
      <c r="O45" s="43" t="str">
        <f>IFERROR(__xludf.DUMMYFUNCTION("IF(COUNTA(J45:N45)=0, """", ARRAYFORMULA(""- ""&amp;TEXTJOIN(char(10)&amp;""- "", TRUE, FILTER(J$1:N$1&amp;"": ""&amp;J45:N45, NOT(ISBLANK(J45:N45))))))"),"- Meike: not really about equatic ecosystems ")</f>
        <v>- Meike: not really about equatic ecosystems </v>
      </c>
      <c r="P45" s="43" t="s">
        <v>446</v>
      </c>
      <c r="Q45" s="45" t="s">
        <v>342</v>
      </c>
    </row>
    <row r="46">
      <c r="A46" s="12" t="s">
        <v>128</v>
      </c>
      <c r="B46" s="12" t="s">
        <v>129</v>
      </c>
      <c r="C46" s="46"/>
      <c r="D46" s="42" t="b">
        <f t="shared" ref="D46:H46" si="90">VLOOKUP($A46, INDIRECT(D$1&amp;"!A:C"), 3, FALSE)</f>
        <v>1</v>
      </c>
      <c r="E46" s="42" t="b">
        <f t="shared" si="90"/>
        <v>1</v>
      </c>
      <c r="F46" s="42" t="str">
        <f t="shared" si="90"/>
        <v>TO DO</v>
      </c>
      <c r="G46" s="42" t="b">
        <f t="shared" si="90"/>
        <v>1</v>
      </c>
      <c r="H46" s="42" t="b">
        <f t="shared" si="90"/>
        <v>1</v>
      </c>
      <c r="I46" s="43">
        <f t="shared" si="4"/>
        <v>1</v>
      </c>
      <c r="J46" s="44" t="str">
        <f t="shared" ref="J46:N46" si="91">VLOOKUP($A46, INDIRECT(J$1&amp;"!A:D"), 4, FALSE)</f>
        <v/>
      </c>
      <c r="K46" s="44" t="str">
        <f t="shared" si="91"/>
        <v/>
      </c>
      <c r="L46" s="44" t="str">
        <f t="shared" si="91"/>
        <v/>
      </c>
      <c r="M46" s="44" t="str">
        <f t="shared" si="91"/>
        <v/>
      </c>
      <c r="N46" s="44" t="str">
        <f t="shared" si="91"/>
        <v/>
      </c>
      <c r="O46" s="43" t="str">
        <f>IFERROR(__xludf.DUMMYFUNCTION("IF(COUNTA(J46:N46)=0, """", ARRAYFORMULA(""- ""&amp;TEXTJOIN(char(10)&amp;""- "", TRUE, FILTER(J$1:N$1&amp;"": ""&amp;J46:N46, NOT(ISBLANK(J46:N46))))))"),"")</f>
        <v/>
      </c>
      <c r="P46" s="43" t="s">
        <v>425</v>
      </c>
      <c r="Q46" s="45" t="b">
        <v>1</v>
      </c>
    </row>
    <row r="47">
      <c r="A47" s="12" t="s">
        <v>104</v>
      </c>
      <c r="B47" s="12" t="s">
        <v>105</v>
      </c>
      <c r="C47" s="7"/>
      <c r="D47" s="42" t="b">
        <f t="shared" ref="D47:H47" si="92">VLOOKUP($A47, INDIRECT(D$1&amp;"!A:C"), 3, FALSE)</f>
        <v>1</v>
      </c>
      <c r="E47" s="42" t="str">
        <f t="shared" si="92"/>
        <v>TO DO</v>
      </c>
      <c r="F47" s="42" t="str">
        <f t="shared" si="92"/>
        <v>TO DO</v>
      </c>
      <c r="G47" s="42" t="b">
        <f t="shared" si="92"/>
        <v>1</v>
      </c>
      <c r="H47" s="42" t="b">
        <f t="shared" si="92"/>
        <v>1</v>
      </c>
      <c r="I47" s="43">
        <f t="shared" si="4"/>
        <v>1</v>
      </c>
      <c r="J47" s="44" t="str">
        <f t="shared" ref="J47:N47" si="93">VLOOKUP($A47, INDIRECT(J$1&amp;"!A:D"), 4, FALSE)</f>
        <v/>
      </c>
      <c r="K47" s="44" t="str">
        <f t="shared" si="93"/>
        <v/>
      </c>
      <c r="L47" s="44" t="str">
        <f t="shared" si="93"/>
        <v/>
      </c>
      <c r="M47" s="44" t="str">
        <f t="shared" si="93"/>
        <v/>
      </c>
      <c r="N47" s="44" t="str">
        <f t="shared" si="93"/>
        <v/>
      </c>
      <c r="O47" s="43" t="str">
        <f>IFERROR(__xludf.DUMMYFUNCTION("IF(COUNTA(J47:N47)=0, """", ARRAYFORMULA(""- ""&amp;TEXTJOIN(char(10)&amp;""- "", TRUE, FILTER(J$1:N$1&amp;"": ""&amp;J47:N47, NOT(ISBLANK(J47:N47))))))"),"")</f>
        <v/>
      </c>
      <c r="P47" s="43" t="s">
        <v>425</v>
      </c>
      <c r="Q47" s="45" t="b">
        <v>1</v>
      </c>
    </row>
    <row r="48">
      <c r="A48" s="12" t="s">
        <v>173</v>
      </c>
      <c r="B48" s="12" t="s">
        <v>174</v>
      </c>
      <c r="C48" s="7" t="s">
        <v>422</v>
      </c>
      <c r="D48" s="42" t="b">
        <f t="shared" ref="D48:H48" si="94">VLOOKUP($A48, INDIRECT(D$1&amp;"!A:C"), 3, FALSE)</f>
        <v>1</v>
      </c>
      <c r="E48" s="42" t="b">
        <f t="shared" si="94"/>
        <v>0</v>
      </c>
      <c r="F48" s="42" t="str">
        <f t="shared" si="94"/>
        <v>TO DO</v>
      </c>
      <c r="G48" s="42" t="b">
        <f t="shared" si="94"/>
        <v>1</v>
      </c>
      <c r="H48" s="42" t="b">
        <f t="shared" si="94"/>
        <v>1</v>
      </c>
      <c r="I48" s="43">
        <f t="shared" si="4"/>
        <v>0.5</v>
      </c>
      <c r="J48" s="44" t="str">
        <f t="shared" ref="J48:N48" si="95">VLOOKUP($A48, INDIRECT(J$1&amp;"!A:D"), 4, FALSE)</f>
        <v/>
      </c>
      <c r="K48" s="44" t="str">
        <f t="shared" si="95"/>
        <v>mentioned water, but too weak to be SDG 6 since neither targets, meausres, or problems are explicitly mentioned.</v>
      </c>
      <c r="L48" s="44" t="str">
        <f t="shared" si="95"/>
        <v/>
      </c>
      <c r="M48" s="44" t="str">
        <f t="shared" si="95"/>
        <v>niet direct over targets</v>
      </c>
      <c r="N48" s="44" t="str">
        <f t="shared" si="95"/>
        <v/>
      </c>
      <c r="O48" s="43" t="str">
        <f>IFERROR(__xludf.DUMMYFUNCTION("IF(COUNTA(J48:N48)=0, """", ARRAYFORMULA(""- ""&amp;TEXTJOIN(char(10)&amp;""- "", TRUE, FILTER(J$1:N$1&amp;"": ""&amp;J48:N48, NOT(ISBLANK(J48:N48))))))"),"- Gib: mentioned water, but too weak to be SDG 6 since neither targets, meausres, or problems are explicitly mentioned.
- Meike: niet direct over targets")</f>
        <v>- Gib: mentioned water, but too weak to be SDG 6 since neither targets, meausres, or problems are explicitly mentioned.
- Meike: niet direct over targets</v>
      </c>
      <c r="P48" s="43" t="s">
        <v>447</v>
      </c>
      <c r="Q48" s="45" t="s">
        <v>342</v>
      </c>
    </row>
    <row r="49">
      <c r="A49" s="12" t="s">
        <v>113</v>
      </c>
      <c r="B49" s="12" t="s">
        <v>114</v>
      </c>
      <c r="C49" s="7"/>
      <c r="D49" s="42" t="b">
        <f t="shared" ref="D49:H49" si="96">VLOOKUP($A49, INDIRECT(D$1&amp;"!A:C"), 3, FALSE)</f>
        <v>1</v>
      </c>
      <c r="E49" s="42" t="str">
        <f t="shared" si="96"/>
        <v>TO DO</v>
      </c>
      <c r="F49" s="42" t="str">
        <f t="shared" si="96"/>
        <v>TO DO</v>
      </c>
      <c r="G49" s="42" t="b">
        <f t="shared" si="96"/>
        <v>1</v>
      </c>
      <c r="H49" s="42" t="b">
        <f t="shared" si="96"/>
        <v>1</v>
      </c>
      <c r="I49" s="43">
        <f t="shared" si="4"/>
        <v>1</v>
      </c>
      <c r="J49" s="44" t="str">
        <f t="shared" ref="J49:N49" si="97">VLOOKUP($A49, INDIRECT(J$1&amp;"!A:D"), 4, FALSE)</f>
        <v/>
      </c>
      <c r="K49" s="44" t="str">
        <f t="shared" si="97"/>
        <v/>
      </c>
      <c r="L49" s="44" t="str">
        <f t="shared" si="97"/>
        <v/>
      </c>
      <c r="M49" s="44" t="str">
        <f t="shared" si="97"/>
        <v/>
      </c>
      <c r="N49" s="44" t="str">
        <f t="shared" si="97"/>
        <v/>
      </c>
      <c r="O49" s="43" t="str">
        <f>IFERROR(__xludf.DUMMYFUNCTION("IF(COUNTA(J49:N49)=0, """", ARRAYFORMULA(""- ""&amp;TEXTJOIN(char(10)&amp;""- "", TRUE, FILTER(J$1:N$1&amp;"": ""&amp;J49:N49, NOT(ISBLANK(J49:N49))))))"),"")</f>
        <v/>
      </c>
      <c r="P49" s="43" t="s">
        <v>425</v>
      </c>
      <c r="Q49" s="45" t="b">
        <v>1</v>
      </c>
    </row>
    <row r="50">
      <c r="A50" s="12" t="s">
        <v>245</v>
      </c>
      <c r="B50" s="12" t="s">
        <v>246</v>
      </c>
      <c r="C50" s="46"/>
      <c r="D50" s="42" t="b">
        <f t="shared" ref="D50:H50" si="98">VLOOKUP($A50, INDIRECT(D$1&amp;"!A:C"), 3, FALSE)</f>
        <v>0</v>
      </c>
      <c r="E50" s="42" t="b">
        <f t="shared" si="98"/>
        <v>0</v>
      </c>
      <c r="F50" s="42" t="str">
        <f t="shared" si="98"/>
        <v>TO DO</v>
      </c>
      <c r="G50" s="42" t="b">
        <f t="shared" si="98"/>
        <v>0</v>
      </c>
      <c r="H50" s="42" t="b">
        <f t="shared" si="98"/>
        <v>0</v>
      </c>
      <c r="I50" s="43">
        <f t="shared" si="4"/>
        <v>1</v>
      </c>
      <c r="J50" s="44" t="str">
        <f t="shared" ref="J50:N50" si="99">VLOOKUP($A50, INDIRECT(J$1&amp;"!A:D"), 4, FALSE)</f>
        <v/>
      </c>
      <c r="K50" s="44" t="str">
        <f t="shared" si="99"/>
        <v/>
      </c>
      <c r="L50" s="44" t="str">
        <f t="shared" si="99"/>
        <v/>
      </c>
      <c r="M50" s="44" t="str">
        <f t="shared" si="99"/>
        <v/>
      </c>
      <c r="N50" s="44" t="str">
        <f t="shared" si="99"/>
        <v/>
      </c>
      <c r="O50" s="43" t="str">
        <f>IFERROR(__xludf.DUMMYFUNCTION("IF(COUNTA(J50:N50)=0, """", ARRAYFORMULA(""- ""&amp;TEXTJOIN(char(10)&amp;""- "", TRUE, FILTER(J$1:N$1&amp;"": ""&amp;J50:N50, NOT(ISBLANK(J50:N50))))))"),"")</f>
        <v/>
      </c>
      <c r="P50" s="43" t="s">
        <v>425</v>
      </c>
      <c r="Q50" s="45" t="b">
        <v>0</v>
      </c>
    </row>
    <row r="51">
      <c r="A51" s="12" t="s">
        <v>235</v>
      </c>
      <c r="B51" s="12" t="s">
        <v>236</v>
      </c>
      <c r="C51" s="42"/>
      <c r="D51" s="42" t="b">
        <f t="shared" ref="D51:H51" si="100">VLOOKUP($A51, INDIRECT(D$1&amp;"!A:C"), 3, FALSE)</f>
        <v>0</v>
      </c>
      <c r="E51" s="42" t="b">
        <f t="shared" si="100"/>
        <v>0</v>
      </c>
      <c r="F51" s="42" t="str">
        <f t="shared" si="100"/>
        <v>TO DO</v>
      </c>
      <c r="G51" s="42" t="b">
        <f t="shared" si="100"/>
        <v>0</v>
      </c>
      <c r="H51" s="42" t="b">
        <f t="shared" si="100"/>
        <v>0</v>
      </c>
      <c r="I51" s="43">
        <f t="shared" si="4"/>
        <v>1</v>
      </c>
      <c r="J51" s="44" t="str">
        <f t="shared" ref="J51:N51" si="101">VLOOKUP($A51, INDIRECT(J$1&amp;"!A:D"), 4, FALSE)</f>
        <v/>
      </c>
      <c r="K51" s="44" t="str">
        <f t="shared" si="101"/>
        <v/>
      </c>
      <c r="L51" s="44" t="str">
        <f t="shared" si="101"/>
        <v/>
      </c>
      <c r="M51" s="44" t="str">
        <f t="shared" si="101"/>
        <v/>
      </c>
      <c r="N51" s="44" t="str">
        <f t="shared" si="101"/>
        <v/>
      </c>
      <c r="O51" s="43" t="str">
        <f>IFERROR(__xludf.DUMMYFUNCTION("IF(COUNTA(J51:N51)=0, """", ARRAYFORMULA(""- ""&amp;TEXTJOIN(char(10)&amp;""- "", TRUE, FILTER(J$1:N$1&amp;"": ""&amp;J51:N51, NOT(ISBLANK(J51:N51))))))"),"")</f>
        <v/>
      </c>
      <c r="P51" s="43" t="s">
        <v>425</v>
      </c>
      <c r="Q51" s="45" t="b">
        <v>0</v>
      </c>
    </row>
    <row r="52">
      <c r="A52" s="12" t="s">
        <v>251</v>
      </c>
      <c r="B52" s="12" t="s">
        <v>252</v>
      </c>
      <c r="C52" s="46"/>
      <c r="D52" s="42" t="b">
        <f t="shared" ref="D52:H52" si="102">VLOOKUP($A52, INDIRECT(D$1&amp;"!A:C"), 3, FALSE)</f>
        <v>0</v>
      </c>
      <c r="E52" s="42" t="str">
        <f t="shared" si="102"/>
        <v>TO DO</v>
      </c>
      <c r="F52" s="42" t="str">
        <f t="shared" si="102"/>
        <v>TO DO</v>
      </c>
      <c r="G52" s="42" t="b">
        <f t="shared" si="102"/>
        <v>0</v>
      </c>
      <c r="H52" s="42" t="b">
        <f t="shared" si="102"/>
        <v>0</v>
      </c>
      <c r="I52" s="43">
        <f t="shared" si="4"/>
        <v>1</v>
      </c>
      <c r="J52" s="44" t="str">
        <f t="shared" ref="J52:N52" si="103">VLOOKUP($A52, INDIRECT(J$1&amp;"!A:D"), 4, FALSE)</f>
        <v/>
      </c>
      <c r="K52" s="44" t="str">
        <f t="shared" si="103"/>
        <v/>
      </c>
      <c r="L52" s="44" t="str">
        <f t="shared" si="103"/>
        <v/>
      </c>
      <c r="M52" s="44" t="str">
        <f t="shared" si="103"/>
        <v/>
      </c>
      <c r="N52" s="44" t="str">
        <f t="shared" si="103"/>
        <v/>
      </c>
      <c r="O52" s="43" t="str">
        <f>IFERROR(__xludf.DUMMYFUNCTION("IF(COUNTA(J52:N52)=0, """", ARRAYFORMULA(""- ""&amp;TEXTJOIN(char(10)&amp;""- "", TRUE, FILTER(J$1:N$1&amp;"": ""&amp;J52:N52, NOT(ISBLANK(J52:N52))))))"),"")</f>
        <v/>
      </c>
      <c r="P52" s="43" t="s">
        <v>425</v>
      </c>
      <c r="Q52" s="45" t="b">
        <v>0</v>
      </c>
    </row>
    <row r="53">
      <c r="A53" s="12" t="s">
        <v>91</v>
      </c>
      <c r="B53" s="12" t="s">
        <v>92</v>
      </c>
      <c r="C53" s="7"/>
      <c r="D53" s="42" t="b">
        <f t="shared" ref="D53:H53" si="104">VLOOKUP($A53, INDIRECT(D$1&amp;"!A:C"), 3, FALSE)</f>
        <v>1</v>
      </c>
      <c r="E53" s="42" t="str">
        <f t="shared" si="104"/>
        <v>TO DO</v>
      </c>
      <c r="F53" s="42" t="str">
        <f t="shared" si="104"/>
        <v>TO DO</v>
      </c>
      <c r="G53" s="42" t="b">
        <f t="shared" si="104"/>
        <v>1</v>
      </c>
      <c r="H53" s="42" t="b">
        <f t="shared" si="104"/>
        <v>1</v>
      </c>
      <c r="I53" s="43">
        <f t="shared" si="4"/>
        <v>1</v>
      </c>
      <c r="J53" s="44" t="str">
        <f t="shared" ref="J53:N53" si="105">VLOOKUP($A53, INDIRECT(J$1&amp;"!A:D"), 4, FALSE)</f>
        <v/>
      </c>
      <c r="K53" s="44" t="str">
        <f t="shared" si="105"/>
        <v/>
      </c>
      <c r="L53" s="44" t="str">
        <f t="shared" si="105"/>
        <v/>
      </c>
      <c r="M53" s="44" t="str">
        <f t="shared" si="105"/>
        <v/>
      </c>
      <c r="N53" s="44" t="str">
        <f t="shared" si="105"/>
        <v/>
      </c>
      <c r="O53" s="43" t="str">
        <f>IFERROR(__xludf.DUMMYFUNCTION("IF(COUNTA(J53:N53)=0, """", ARRAYFORMULA(""- ""&amp;TEXTJOIN(char(10)&amp;""- "", TRUE, FILTER(J$1:N$1&amp;"": ""&amp;J53:N53, NOT(ISBLANK(J53:N53))))))"),"")</f>
        <v/>
      </c>
      <c r="P53" s="43" t="s">
        <v>425</v>
      </c>
      <c r="Q53" s="45" t="b">
        <v>1</v>
      </c>
    </row>
    <row r="54">
      <c r="A54" s="12" t="s">
        <v>146</v>
      </c>
      <c r="B54" s="12" t="s">
        <v>147</v>
      </c>
      <c r="C54" s="46"/>
      <c r="D54" s="42" t="b">
        <f t="shared" ref="D54:H54" si="106">VLOOKUP($A54, INDIRECT(D$1&amp;"!A:C"), 3, FALSE)</f>
        <v>0</v>
      </c>
      <c r="E54" s="42" t="b">
        <f t="shared" si="106"/>
        <v>0</v>
      </c>
      <c r="F54" s="42" t="str">
        <f t="shared" si="106"/>
        <v>TO DO</v>
      </c>
      <c r="G54" s="42" t="b">
        <f t="shared" si="106"/>
        <v>0</v>
      </c>
      <c r="H54" s="42" t="b">
        <f t="shared" si="106"/>
        <v>0</v>
      </c>
      <c r="I54" s="43">
        <f t="shared" si="4"/>
        <v>1</v>
      </c>
      <c r="J54" s="44" t="str">
        <f t="shared" ref="J54:N54" si="107">VLOOKUP($A54, INDIRECT(J$1&amp;"!A:D"), 4, FALSE)</f>
        <v/>
      </c>
      <c r="K54" s="44" t="str">
        <f t="shared" si="107"/>
        <v/>
      </c>
      <c r="L54" s="44" t="str">
        <f t="shared" si="107"/>
        <v/>
      </c>
      <c r="M54" s="44" t="str">
        <f t="shared" si="107"/>
        <v/>
      </c>
      <c r="N54" s="44" t="str">
        <f t="shared" si="107"/>
        <v/>
      </c>
      <c r="O54" s="43" t="str">
        <f>IFERROR(__xludf.DUMMYFUNCTION("IF(COUNTA(J54:N54)=0, """", ARRAYFORMULA(""- ""&amp;TEXTJOIN(char(10)&amp;""- "", TRUE, FILTER(J$1:N$1&amp;"": ""&amp;J54:N54, NOT(ISBLANK(J54:N54))))))"),"")</f>
        <v/>
      </c>
      <c r="P54" s="43" t="s">
        <v>425</v>
      </c>
      <c r="Q54" s="45" t="b">
        <v>0</v>
      </c>
    </row>
    <row r="55">
      <c r="A55" s="12" t="s">
        <v>121</v>
      </c>
      <c r="B55" s="12" t="s">
        <v>122</v>
      </c>
      <c r="C55" s="46"/>
      <c r="D55" s="42" t="b">
        <f t="shared" ref="D55:H55" si="108">VLOOKUP($A55, INDIRECT(D$1&amp;"!A:C"), 3, FALSE)</f>
        <v>0</v>
      </c>
      <c r="E55" s="42" t="b">
        <f t="shared" si="108"/>
        <v>0</v>
      </c>
      <c r="F55" s="42" t="str">
        <f t="shared" si="108"/>
        <v>TO DO</v>
      </c>
      <c r="G55" s="42" t="b">
        <f t="shared" si="108"/>
        <v>0</v>
      </c>
      <c r="H55" s="42" t="b">
        <f t="shared" si="108"/>
        <v>0</v>
      </c>
      <c r="I55" s="43">
        <f t="shared" si="4"/>
        <v>1</v>
      </c>
      <c r="J55" s="44" t="str">
        <f t="shared" ref="J55:N55" si="109">VLOOKUP($A55, INDIRECT(J$1&amp;"!A:D"), 4, FALSE)</f>
        <v/>
      </c>
      <c r="K55" s="44" t="str">
        <f t="shared" si="109"/>
        <v/>
      </c>
      <c r="L55" s="44" t="str">
        <f t="shared" si="109"/>
        <v/>
      </c>
      <c r="M55" s="44" t="str">
        <f t="shared" si="109"/>
        <v/>
      </c>
      <c r="N55" s="44" t="str">
        <f t="shared" si="109"/>
        <v/>
      </c>
      <c r="O55" s="43" t="str">
        <f>IFERROR(__xludf.DUMMYFUNCTION("IF(COUNTA(J55:N55)=0, """", ARRAYFORMULA(""- ""&amp;TEXTJOIN(char(10)&amp;""- "", TRUE, FILTER(J$1:N$1&amp;"": ""&amp;J55:N55, NOT(ISBLANK(J55:N55))))))"),"")</f>
        <v/>
      </c>
      <c r="P55" s="43" t="s">
        <v>425</v>
      </c>
      <c r="Q55" s="45" t="b">
        <v>0</v>
      </c>
    </row>
    <row r="56">
      <c r="A56" s="12" t="s">
        <v>215</v>
      </c>
      <c r="B56" s="12" t="s">
        <v>216</v>
      </c>
      <c r="C56" s="42"/>
      <c r="D56" s="42" t="b">
        <f t="shared" ref="D56:H56" si="110">VLOOKUP($A56, INDIRECT(D$1&amp;"!A:C"), 3, FALSE)</f>
        <v>1</v>
      </c>
      <c r="E56" s="42" t="b">
        <f t="shared" si="110"/>
        <v>1</v>
      </c>
      <c r="F56" s="42" t="str">
        <f t="shared" si="110"/>
        <v>TO DO</v>
      </c>
      <c r="G56" s="42" t="b">
        <f t="shared" si="110"/>
        <v>1</v>
      </c>
      <c r="H56" s="42" t="b">
        <f t="shared" si="110"/>
        <v>1</v>
      </c>
      <c r="I56" s="43">
        <f t="shared" si="4"/>
        <v>1</v>
      </c>
      <c r="J56" s="44" t="str">
        <f t="shared" ref="J56:N56" si="111">VLOOKUP($A56, INDIRECT(J$1&amp;"!A:D"), 4, FALSE)</f>
        <v/>
      </c>
      <c r="K56" s="44" t="str">
        <f t="shared" si="111"/>
        <v/>
      </c>
      <c r="L56" s="44" t="str">
        <f t="shared" si="111"/>
        <v/>
      </c>
      <c r="M56" s="44" t="str">
        <f t="shared" si="111"/>
        <v/>
      </c>
      <c r="N56" s="44" t="str">
        <f t="shared" si="111"/>
        <v/>
      </c>
      <c r="O56" s="43" t="str">
        <f>IFERROR(__xludf.DUMMYFUNCTION("IF(COUNTA(J56:N56)=0, """", ARRAYFORMULA(""- ""&amp;TEXTJOIN(char(10)&amp;""- "", TRUE, FILTER(J$1:N$1&amp;"": ""&amp;J56:N56, NOT(ISBLANK(J56:N56))))))"),"")</f>
        <v/>
      </c>
      <c r="P56" s="43" t="s">
        <v>425</v>
      </c>
      <c r="Q56" s="45" t="b">
        <v>1</v>
      </c>
    </row>
    <row r="57">
      <c r="A57" s="12" t="s">
        <v>183</v>
      </c>
      <c r="B57" s="12" t="s">
        <v>184</v>
      </c>
      <c r="C57" s="42"/>
      <c r="D57" s="42" t="b">
        <f t="shared" ref="D57:H57" si="112">VLOOKUP($A57, INDIRECT(D$1&amp;"!A:C"), 3, FALSE)</f>
        <v>1</v>
      </c>
      <c r="E57" s="42" t="str">
        <f t="shared" si="112"/>
        <v>TO DO</v>
      </c>
      <c r="F57" s="42" t="str">
        <f t="shared" si="112"/>
        <v>TO DO</v>
      </c>
      <c r="G57" s="42" t="b">
        <f t="shared" si="112"/>
        <v>1</v>
      </c>
      <c r="H57" s="42" t="b">
        <f t="shared" si="112"/>
        <v>1</v>
      </c>
      <c r="I57" s="43">
        <f t="shared" si="4"/>
        <v>1</v>
      </c>
      <c r="J57" s="44" t="str">
        <f t="shared" ref="J57:N57" si="113">VLOOKUP($A57, INDIRECT(J$1&amp;"!A:D"), 4, FALSE)</f>
        <v/>
      </c>
      <c r="K57" s="44" t="str">
        <f t="shared" si="113"/>
        <v/>
      </c>
      <c r="L57" s="44" t="str">
        <f t="shared" si="113"/>
        <v/>
      </c>
      <c r="M57" s="44" t="str">
        <f t="shared" si="113"/>
        <v/>
      </c>
      <c r="N57" s="44" t="str">
        <f t="shared" si="113"/>
        <v/>
      </c>
      <c r="O57" s="43" t="str">
        <f>IFERROR(__xludf.DUMMYFUNCTION("IF(COUNTA(J57:N57)=0, """", ARRAYFORMULA(""- ""&amp;TEXTJOIN(char(10)&amp;""- "", TRUE, FILTER(J$1:N$1&amp;"": ""&amp;J57:N57, NOT(ISBLANK(J57:N57))))))"),"")</f>
        <v/>
      </c>
      <c r="P57" s="43" t="s">
        <v>425</v>
      </c>
      <c r="Q57" s="45" t="b">
        <v>1</v>
      </c>
    </row>
    <row r="58">
      <c r="A58" s="12" t="s">
        <v>144</v>
      </c>
      <c r="B58" s="12" t="s">
        <v>145</v>
      </c>
      <c r="C58" s="7"/>
      <c r="D58" s="42" t="b">
        <f t="shared" ref="D58:H58" si="114">VLOOKUP($A58, INDIRECT(D$1&amp;"!A:C"), 3, FALSE)</f>
        <v>1</v>
      </c>
      <c r="E58" s="42" t="str">
        <f t="shared" si="114"/>
        <v>TO DO</v>
      </c>
      <c r="F58" s="42" t="str">
        <f t="shared" si="114"/>
        <v>TO DO</v>
      </c>
      <c r="G58" s="42" t="b">
        <f t="shared" si="114"/>
        <v>1</v>
      </c>
      <c r="H58" s="42" t="b">
        <f t="shared" si="114"/>
        <v>1</v>
      </c>
      <c r="I58" s="43">
        <f t="shared" si="4"/>
        <v>1</v>
      </c>
      <c r="J58" s="44" t="str">
        <f t="shared" ref="J58:N58" si="115">VLOOKUP($A58, INDIRECT(J$1&amp;"!A:D"), 4, FALSE)</f>
        <v/>
      </c>
      <c r="K58" s="44" t="str">
        <f t="shared" si="115"/>
        <v/>
      </c>
      <c r="L58" s="44" t="str">
        <f t="shared" si="115"/>
        <v/>
      </c>
      <c r="M58" s="44" t="str">
        <f t="shared" si="115"/>
        <v/>
      </c>
      <c r="N58" s="44" t="str">
        <f t="shared" si="115"/>
        <v>water resource management</v>
      </c>
      <c r="O58" s="43" t="str">
        <f>IFERROR(__xludf.DUMMYFUNCTION("IF(COUNTA(J58:N58)=0, """", ARRAYFORMULA(""- ""&amp;TEXTJOIN(char(10)&amp;""- "", TRUE, FILTER(J$1:N$1&amp;"": ""&amp;J58:N58, NOT(ISBLANK(J58:N58))))))"),"- Steve: water resource management")</f>
        <v>- Steve: water resource management</v>
      </c>
      <c r="P58" s="43" t="s">
        <v>448</v>
      </c>
      <c r="Q58" s="45" t="b">
        <v>1</v>
      </c>
    </row>
    <row r="59">
      <c r="A59" s="12" t="s">
        <v>273</v>
      </c>
      <c r="B59" s="12" t="s">
        <v>274</v>
      </c>
      <c r="C59" s="46"/>
      <c r="D59" s="42" t="b">
        <f t="shared" ref="D59:H59" si="116">VLOOKUP($A59, INDIRECT(D$1&amp;"!A:C"), 3, FALSE)</f>
        <v>0</v>
      </c>
      <c r="E59" s="42" t="str">
        <f t="shared" si="116"/>
        <v>TO DO</v>
      </c>
      <c r="F59" s="42" t="str">
        <f t="shared" si="116"/>
        <v>TO DO</v>
      </c>
      <c r="G59" s="42" t="b">
        <f t="shared" si="116"/>
        <v>0</v>
      </c>
      <c r="H59" s="42" t="b">
        <f t="shared" si="116"/>
        <v>0</v>
      </c>
      <c r="I59" s="43">
        <f t="shared" si="4"/>
        <v>1</v>
      </c>
      <c r="J59" s="44" t="str">
        <f t="shared" ref="J59:N59" si="117">VLOOKUP($A59, INDIRECT(J$1&amp;"!A:D"), 4, FALSE)</f>
        <v/>
      </c>
      <c r="K59" s="44" t="str">
        <f t="shared" si="117"/>
        <v/>
      </c>
      <c r="L59" s="44" t="str">
        <f t="shared" si="117"/>
        <v/>
      </c>
      <c r="M59" s="44" t="str">
        <f t="shared" si="117"/>
        <v/>
      </c>
      <c r="N59" s="44" t="str">
        <f t="shared" si="117"/>
        <v/>
      </c>
      <c r="O59" s="43" t="str">
        <f>IFERROR(__xludf.DUMMYFUNCTION("IF(COUNTA(J59:N59)=0, """", ARRAYFORMULA(""- ""&amp;TEXTJOIN(char(10)&amp;""- "", TRUE, FILTER(J$1:N$1&amp;"": ""&amp;J59:N59, NOT(ISBLANK(J59:N59))))))"),"")</f>
        <v/>
      </c>
      <c r="P59" s="43" t="s">
        <v>425</v>
      </c>
      <c r="Q59" s="45" t="b">
        <v>0</v>
      </c>
    </row>
    <row r="60">
      <c r="A60" s="12" t="s">
        <v>115</v>
      </c>
      <c r="B60" s="12" t="s">
        <v>116</v>
      </c>
      <c r="C60" s="7"/>
      <c r="D60" s="42" t="b">
        <f t="shared" ref="D60:H60" si="118">VLOOKUP($A60, INDIRECT(D$1&amp;"!A:C"), 3, FALSE)</f>
        <v>1</v>
      </c>
      <c r="E60" s="42" t="str">
        <f t="shared" si="118"/>
        <v>TO DO</v>
      </c>
      <c r="F60" s="42" t="str">
        <f t="shared" si="118"/>
        <v>TO DO</v>
      </c>
      <c r="G60" s="42" t="b">
        <f t="shared" si="118"/>
        <v>1</v>
      </c>
      <c r="H60" s="42" t="b">
        <f t="shared" si="118"/>
        <v>1</v>
      </c>
      <c r="I60" s="43">
        <f t="shared" si="4"/>
        <v>1</v>
      </c>
      <c r="J60" s="44" t="str">
        <f t="shared" ref="J60:N60" si="119">VLOOKUP($A60, INDIRECT(J$1&amp;"!A:D"), 4, FALSE)</f>
        <v/>
      </c>
      <c r="K60" s="44" t="str">
        <f t="shared" si="119"/>
        <v/>
      </c>
      <c r="L60" s="44" t="str">
        <f t="shared" si="119"/>
        <v/>
      </c>
      <c r="M60" s="44" t="str">
        <f t="shared" si="119"/>
        <v/>
      </c>
      <c r="N60" s="44" t="str">
        <f t="shared" si="119"/>
        <v/>
      </c>
      <c r="O60" s="43" t="str">
        <f>IFERROR(__xludf.DUMMYFUNCTION("IF(COUNTA(J60:N60)=0, """", ARRAYFORMULA(""- ""&amp;TEXTJOIN(char(10)&amp;""- "", TRUE, FILTER(J$1:N$1&amp;"": ""&amp;J60:N60, NOT(ISBLANK(J60:N60))))))"),"")</f>
        <v/>
      </c>
      <c r="P60" s="43" t="s">
        <v>425</v>
      </c>
      <c r="Q60" s="45" t="b">
        <v>1</v>
      </c>
    </row>
    <row r="61">
      <c r="A61" s="12" t="s">
        <v>156</v>
      </c>
      <c r="B61" s="12" t="s">
        <v>157</v>
      </c>
      <c r="C61" s="46"/>
      <c r="D61" s="42" t="b">
        <f t="shared" ref="D61:H61" si="120">VLOOKUP($A61, INDIRECT(D$1&amp;"!A:C"), 3, FALSE)</f>
        <v>1</v>
      </c>
      <c r="E61" s="42" t="str">
        <f t="shared" si="120"/>
        <v>TO DO</v>
      </c>
      <c r="F61" s="42" t="str">
        <f t="shared" si="120"/>
        <v>TO DO</v>
      </c>
      <c r="G61" s="42" t="b">
        <f t="shared" si="120"/>
        <v>1</v>
      </c>
      <c r="H61" s="42" t="b">
        <f t="shared" si="120"/>
        <v>1</v>
      </c>
      <c r="I61" s="43">
        <f t="shared" si="4"/>
        <v>1</v>
      </c>
      <c r="J61" s="44" t="str">
        <f t="shared" ref="J61:N61" si="121">VLOOKUP($A61, INDIRECT(J$1&amp;"!A:D"), 4, FALSE)</f>
        <v>What do we do with abbreviations / names?</v>
      </c>
      <c r="K61" s="44" t="str">
        <f t="shared" si="121"/>
        <v/>
      </c>
      <c r="L61" s="44" t="str">
        <f t="shared" si="121"/>
        <v/>
      </c>
      <c r="M61" s="44" t="str">
        <f t="shared" si="121"/>
        <v/>
      </c>
      <c r="N61" s="44" t="str">
        <f t="shared" si="121"/>
        <v>Can this be seen as link to effective water resource management?</v>
      </c>
      <c r="O61" s="43" t="str">
        <f>IFERROR(__xludf.DUMMYFUNCTION("IF(COUNTA(J61:N61)=0, """", ARRAYFORMULA(""- ""&amp;TEXTJOIN(char(10)&amp;""- "", TRUE, FILTER(J$1:N$1&amp;"": ""&amp;J61:N61, NOT(ISBLANK(J61:N61))))))"),"- Finn: What do we do with abbreviations / names?
- Steve: Can this be seen as link to effective water resource management?")</f>
        <v>- Finn: What do we do with abbreviations / names?
- Steve: Can this be seen as link to effective water resource management?</v>
      </c>
      <c r="P61" s="43" t="s">
        <v>449</v>
      </c>
      <c r="Q61" s="45" t="b">
        <v>1</v>
      </c>
    </row>
    <row r="62">
      <c r="A62" s="12" t="s">
        <v>192</v>
      </c>
      <c r="B62" s="12" t="s">
        <v>193</v>
      </c>
      <c r="C62" s="46"/>
      <c r="D62" s="42" t="b">
        <f t="shared" ref="D62:H62" si="122">VLOOKUP($A62, INDIRECT(D$1&amp;"!A:C"), 3, FALSE)</f>
        <v>0</v>
      </c>
      <c r="E62" s="42" t="str">
        <f t="shared" si="122"/>
        <v>TO DO</v>
      </c>
      <c r="F62" s="42" t="str">
        <f t="shared" si="122"/>
        <v>TO DO</v>
      </c>
      <c r="G62" s="42" t="b">
        <f t="shared" si="122"/>
        <v>0</v>
      </c>
      <c r="H62" s="42" t="b">
        <f t="shared" si="122"/>
        <v>0</v>
      </c>
      <c r="I62" s="43">
        <f t="shared" si="4"/>
        <v>1</v>
      </c>
      <c r="J62" s="44" t="str">
        <f t="shared" ref="J62:N62" si="123">VLOOKUP($A62, INDIRECT(J$1&amp;"!A:D"), 4, FALSE)</f>
        <v/>
      </c>
      <c r="K62" s="44" t="str">
        <f t="shared" si="123"/>
        <v/>
      </c>
      <c r="L62" s="44" t="str">
        <f t="shared" si="123"/>
        <v/>
      </c>
      <c r="M62" s="44" t="str">
        <f t="shared" si="123"/>
        <v/>
      </c>
      <c r="N62" s="44" t="str">
        <f t="shared" si="123"/>
        <v/>
      </c>
      <c r="O62" s="43" t="str">
        <f>IFERROR(__xludf.DUMMYFUNCTION("IF(COUNTA(J62:N62)=0, """", ARRAYFORMULA(""- ""&amp;TEXTJOIN(char(10)&amp;""- "", TRUE, FILTER(J$1:N$1&amp;"": ""&amp;J62:N62, NOT(ISBLANK(J62:N62))))))"),"")</f>
        <v/>
      </c>
      <c r="P62" s="43" t="s">
        <v>425</v>
      </c>
      <c r="Q62" s="45" t="b">
        <v>0</v>
      </c>
    </row>
    <row r="63">
      <c r="A63" s="12" t="s">
        <v>194</v>
      </c>
      <c r="B63" s="12" t="s">
        <v>195</v>
      </c>
      <c r="C63" s="46"/>
      <c r="D63" s="42" t="b">
        <f t="shared" ref="D63:H63" si="124">VLOOKUP($A63, INDIRECT(D$1&amp;"!A:C"), 3, FALSE)</f>
        <v>1</v>
      </c>
      <c r="E63" s="42" t="str">
        <f t="shared" si="124"/>
        <v>TO DO</v>
      </c>
      <c r="F63" s="42" t="str">
        <f t="shared" si="124"/>
        <v>TO DO</v>
      </c>
      <c r="G63" s="42" t="b">
        <f t="shared" si="124"/>
        <v>1</v>
      </c>
      <c r="H63" s="42" t="b">
        <f t="shared" si="124"/>
        <v>1</v>
      </c>
      <c r="I63" s="43">
        <f t="shared" si="4"/>
        <v>1</v>
      </c>
      <c r="J63" s="44" t="str">
        <f t="shared" ref="J63:N63" si="125">VLOOKUP($A63, INDIRECT(J$1&amp;"!A:D"), 4, FALSE)</f>
        <v/>
      </c>
      <c r="K63" s="44" t="str">
        <f t="shared" si="125"/>
        <v/>
      </c>
      <c r="L63" s="44" t="str">
        <f t="shared" si="125"/>
        <v/>
      </c>
      <c r="M63" s="44" t="str">
        <f t="shared" si="125"/>
        <v>about policy wrt water</v>
      </c>
      <c r="N63" s="44" t="str">
        <f t="shared" si="125"/>
        <v/>
      </c>
      <c r="O63" s="43" t="str">
        <f>IFERROR(__xludf.DUMMYFUNCTION("IF(COUNTA(J63:N63)=0, """", ARRAYFORMULA(""- ""&amp;TEXTJOIN(char(10)&amp;""- "", TRUE, FILTER(J$1:N$1&amp;"": ""&amp;J63:N63, NOT(ISBLANK(J63:N63))))))"),"- Meike: about policy wrt water")</f>
        <v>- Meike: about policy wrt water</v>
      </c>
      <c r="P63" s="43" t="s">
        <v>450</v>
      </c>
      <c r="Q63" s="45" t="b">
        <v>1</v>
      </c>
    </row>
    <row r="64">
      <c r="A64" s="12" t="s">
        <v>76</v>
      </c>
      <c r="B64" s="12" t="s">
        <v>77</v>
      </c>
      <c r="C64" s="42"/>
      <c r="D64" s="42" t="b">
        <f t="shared" ref="D64:H64" si="126">VLOOKUP($A64, INDIRECT(D$1&amp;"!A:C"), 3, FALSE)</f>
        <v>1</v>
      </c>
      <c r="E64" s="42" t="str">
        <f t="shared" si="126"/>
        <v>TO DO</v>
      </c>
      <c r="F64" s="42" t="str">
        <f t="shared" si="126"/>
        <v>TO DO</v>
      </c>
      <c r="G64" s="42" t="b">
        <f t="shared" si="126"/>
        <v>1</v>
      </c>
      <c r="H64" s="42" t="b">
        <f t="shared" si="126"/>
        <v>1</v>
      </c>
      <c r="I64" s="43">
        <f t="shared" si="4"/>
        <v>1</v>
      </c>
      <c r="J64" s="44" t="str">
        <f t="shared" ref="J64:N64" si="127">VLOOKUP($A64, INDIRECT(J$1&amp;"!A:D"), 4, FALSE)</f>
        <v>typo</v>
      </c>
      <c r="K64" s="44" t="str">
        <f t="shared" si="127"/>
        <v/>
      </c>
      <c r="L64" s="44" t="str">
        <f t="shared" si="127"/>
        <v/>
      </c>
      <c r="M64" s="44" t="str">
        <f t="shared" si="127"/>
        <v/>
      </c>
      <c r="N64" s="44" t="str">
        <f t="shared" si="127"/>
        <v/>
      </c>
      <c r="O64" s="43" t="str">
        <f>IFERROR(__xludf.DUMMYFUNCTION("IF(COUNTA(J64:N64)=0, """", ARRAYFORMULA(""- ""&amp;TEXTJOIN(char(10)&amp;""- "", TRUE, FILTER(J$1:N$1&amp;"": ""&amp;J64:N64, NOT(ISBLANK(J64:N64))))))"),"- Finn: typo")</f>
        <v>- Finn: typo</v>
      </c>
      <c r="P64" s="43" t="s">
        <v>451</v>
      </c>
      <c r="Q64" s="45" t="b">
        <v>1</v>
      </c>
    </row>
    <row r="65">
      <c r="A65" s="12" t="s">
        <v>126</v>
      </c>
      <c r="B65" s="12" t="s">
        <v>127</v>
      </c>
      <c r="C65" s="7"/>
      <c r="D65" s="42" t="b">
        <f t="shared" ref="D65:H65" si="128">VLOOKUP($A65, INDIRECT(D$1&amp;"!A:C"), 3, FALSE)</f>
        <v>0</v>
      </c>
      <c r="E65" s="42" t="b">
        <f t="shared" si="128"/>
        <v>0</v>
      </c>
      <c r="F65" s="42" t="str">
        <f t="shared" si="128"/>
        <v>TO DO</v>
      </c>
      <c r="G65" s="42" t="b">
        <f t="shared" si="128"/>
        <v>0</v>
      </c>
      <c r="H65" s="42" t="b">
        <f t="shared" si="128"/>
        <v>0</v>
      </c>
      <c r="I65" s="43">
        <f t="shared" si="4"/>
        <v>1</v>
      </c>
      <c r="J65" s="44" t="str">
        <f t="shared" ref="J65:N65" si="129">VLOOKUP($A65, INDIRECT(J$1&amp;"!A:D"), 4, FALSE)</f>
        <v/>
      </c>
      <c r="K65" s="44" t="str">
        <f t="shared" si="129"/>
        <v/>
      </c>
      <c r="L65" s="44" t="str">
        <f t="shared" si="129"/>
        <v/>
      </c>
      <c r="M65" s="44" t="str">
        <f t="shared" si="129"/>
        <v/>
      </c>
      <c r="N65" s="44" t="str">
        <f t="shared" si="129"/>
        <v/>
      </c>
      <c r="O65" s="43" t="str">
        <f>IFERROR(__xludf.DUMMYFUNCTION("IF(COUNTA(J65:N65)=0, """", ARRAYFORMULA(""- ""&amp;TEXTJOIN(char(10)&amp;""- "", TRUE, FILTER(J$1:N$1&amp;"": ""&amp;J65:N65, NOT(ISBLANK(J65:N65))))))"),"")</f>
        <v/>
      </c>
      <c r="P65" s="43" t="s">
        <v>425</v>
      </c>
      <c r="Q65" s="45" t="b">
        <v>0</v>
      </c>
    </row>
    <row r="66">
      <c r="A66" s="12" t="s">
        <v>231</v>
      </c>
      <c r="B66" s="12" t="s">
        <v>232</v>
      </c>
      <c r="C66" s="47"/>
      <c r="D66" s="42" t="b">
        <f t="shared" ref="D66:H66" si="130">VLOOKUP($A66, INDIRECT(D$1&amp;"!A:C"), 3, FALSE)</f>
        <v>1</v>
      </c>
      <c r="E66" s="42" t="str">
        <f t="shared" si="130"/>
        <v>TO DO</v>
      </c>
      <c r="F66" s="42" t="str">
        <f t="shared" si="130"/>
        <v>TO DO</v>
      </c>
      <c r="G66" s="42" t="b">
        <f t="shared" si="130"/>
        <v>1</v>
      </c>
      <c r="H66" s="42" t="b">
        <f t="shared" si="130"/>
        <v>1</v>
      </c>
      <c r="I66" s="43">
        <f t="shared" si="4"/>
        <v>1</v>
      </c>
      <c r="J66" s="44" t="str">
        <f t="shared" ref="J66:N66" si="131">VLOOKUP($A66, INDIRECT(J$1&amp;"!A:D"), 4, FALSE)</f>
        <v/>
      </c>
      <c r="K66" s="44" t="str">
        <f t="shared" si="131"/>
        <v/>
      </c>
      <c r="L66" s="44" t="str">
        <f t="shared" si="131"/>
        <v/>
      </c>
      <c r="M66" s="44" t="str">
        <f t="shared" si="131"/>
        <v>maybe more stating a problem, than addressing a target</v>
      </c>
      <c r="N66" s="44" t="str">
        <f t="shared" si="131"/>
        <v/>
      </c>
      <c r="O66" s="43" t="str">
        <f>IFERROR(__xludf.DUMMYFUNCTION("IF(COUNTA(J66:N66)=0, """", ARRAYFORMULA(""- ""&amp;TEXTJOIN(char(10)&amp;""- "", TRUE, FILTER(J$1:N$1&amp;"": ""&amp;J66:N66, NOT(ISBLANK(J66:N66))))))"),"- Meike: maybe more stating a problem, than addressing a target")</f>
        <v>- Meike: maybe more stating a problem, than addressing a target</v>
      </c>
      <c r="P66" s="43" t="s">
        <v>452</v>
      </c>
      <c r="Q66" s="45" t="b">
        <v>1</v>
      </c>
    </row>
    <row r="67">
      <c r="A67" s="12" t="s">
        <v>70</v>
      </c>
      <c r="B67" s="12" t="s">
        <v>71</v>
      </c>
      <c r="C67" s="46"/>
      <c r="D67" s="42" t="b">
        <f t="shared" ref="D67:H67" si="132">VLOOKUP($A67, INDIRECT(D$1&amp;"!A:C"), 3, FALSE)</f>
        <v>1</v>
      </c>
      <c r="E67" s="42" t="b">
        <f t="shared" si="132"/>
        <v>1</v>
      </c>
      <c r="F67" s="42" t="str">
        <f t="shared" si="132"/>
        <v>TO DO</v>
      </c>
      <c r="G67" s="42" t="b">
        <f t="shared" si="132"/>
        <v>1</v>
      </c>
      <c r="H67" s="42" t="b">
        <f t="shared" si="132"/>
        <v>1</v>
      </c>
      <c r="I67" s="43">
        <f t="shared" si="4"/>
        <v>1</v>
      </c>
      <c r="J67" s="44" t="str">
        <f t="shared" ref="J67:N67" si="133">VLOOKUP($A67, INDIRECT(J$1&amp;"!A:D"), 4, FALSE)</f>
        <v/>
      </c>
      <c r="K67" s="44" t="str">
        <f t="shared" si="133"/>
        <v/>
      </c>
      <c r="L67" s="44" t="str">
        <f t="shared" si="133"/>
        <v/>
      </c>
      <c r="M67" s="44" t="str">
        <f t="shared" si="133"/>
        <v/>
      </c>
      <c r="N67" s="44" t="str">
        <f t="shared" si="133"/>
        <v/>
      </c>
      <c r="O67" s="43" t="str">
        <f>IFERROR(__xludf.DUMMYFUNCTION("IF(COUNTA(J67:N67)=0, """", ARRAYFORMULA(""- ""&amp;TEXTJOIN(char(10)&amp;""- "", TRUE, FILTER(J$1:N$1&amp;"": ""&amp;J67:N67, NOT(ISBLANK(J67:N67))))))"),"")</f>
        <v/>
      </c>
      <c r="P67" s="43" t="s">
        <v>425</v>
      </c>
      <c r="Q67" s="45" t="b">
        <v>1</v>
      </c>
    </row>
    <row r="68">
      <c r="A68" s="12" t="s">
        <v>188</v>
      </c>
      <c r="B68" s="12" t="s">
        <v>189</v>
      </c>
      <c r="C68" s="7"/>
      <c r="D68" s="42" t="b">
        <f t="shared" ref="D68:H68" si="134">VLOOKUP($A68, INDIRECT(D$1&amp;"!A:C"), 3, FALSE)</f>
        <v>1</v>
      </c>
      <c r="E68" s="42" t="b">
        <f t="shared" si="134"/>
        <v>1</v>
      </c>
      <c r="F68" s="42" t="str">
        <f t="shared" si="134"/>
        <v>TO DO</v>
      </c>
      <c r="G68" s="42" t="b">
        <f t="shared" si="134"/>
        <v>1</v>
      </c>
      <c r="H68" s="42" t="b">
        <f t="shared" si="134"/>
        <v>1</v>
      </c>
      <c r="I68" s="43">
        <f t="shared" si="4"/>
        <v>1</v>
      </c>
      <c r="J68" s="44" t="str">
        <f t="shared" ref="J68:N68" si="135">VLOOKUP($A68, INDIRECT(J$1&amp;"!A:D"), 4, FALSE)</f>
        <v/>
      </c>
      <c r="K68" s="44" t="str">
        <f t="shared" si="135"/>
        <v/>
      </c>
      <c r="L68" s="44" t="str">
        <f t="shared" si="135"/>
        <v/>
      </c>
      <c r="M68" s="44" t="str">
        <f t="shared" si="135"/>
        <v/>
      </c>
      <c r="N68" s="44" t="str">
        <f t="shared" si="135"/>
        <v/>
      </c>
      <c r="O68" s="43" t="str">
        <f>IFERROR(__xludf.DUMMYFUNCTION("IF(COUNTA(J68:N68)=0, """", ARRAYFORMULA(""- ""&amp;TEXTJOIN(char(10)&amp;""- "", TRUE, FILTER(J$1:N$1&amp;"": ""&amp;J68:N68, NOT(ISBLANK(J68:N68))))))"),"")</f>
        <v/>
      </c>
      <c r="P68" s="43" t="s">
        <v>425</v>
      </c>
      <c r="Q68" s="45" t="b">
        <v>1</v>
      </c>
    </row>
    <row r="69">
      <c r="A69" s="12" t="s">
        <v>106</v>
      </c>
      <c r="B69" s="12" t="s">
        <v>107</v>
      </c>
      <c r="C69" s="47" t="s">
        <v>437</v>
      </c>
      <c r="D69" s="42" t="b">
        <f t="shared" ref="D69:H69" si="136">VLOOKUP($A69, INDIRECT(D$1&amp;"!A:C"), 3, FALSE)</f>
        <v>1</v>
      </c>
      <c r="E69" s="42" t="b">
        <f t="shared" si="136"/>
        <v>0</v>
      </c>
      <c r="F69" s="42" t="str">
        <f t="shared" si="136"/>
        <v>TO DO</v>
      </c>
      <c r="G69" s="42" t="b">
        <f t="shared" si="136"/>
        <v>0</v>
      </c>
      <c r="H69" s="42" t="b">
        <f t="shared" si="136"/>
        <v>1</v>
      </c>
      <c r="I69" s="43">
        <f t="shared" si="4"/>
        <v>0</v>
      </c>
      <c r="J69" s="44" t="str">
        <f t="shared" ref="J69:N69" si="137">VLOOKUP($A69, INDIRECT(J$1&amp;"!A:D"), 4, FALSE)</f>
        <v>target 6.6</v>
      </c>
      <c r="K69" s="44" t="str">
        <f t="shared" si="137"/>
        <v>Could be related to SDG 6 - ecosystem, but quite weak</v>
      </c>
      <c r="L69" s="44" t="str">
        <f t="shared" si="137"/>
        <v/>
      </c>
      <c r="M69" s="44" t="str">
        <f t="shared" si="137"/>
        <v/>
      </c>
      <c r="N69" s="44" t="str">
        <f t="shared" si="137"/>
        <v>pressures on water-related ecosystems (even though not clearly stated)</v>
      </c>
      <c r="O69" s="43" t="str">
        <f>IFERROR(__xludf.DUMMYFUNCTION("IF(COUNTA(J69:N69)=0, """", ARRAYFORMULA(""- ""&amp;TEXTJOIN(char(10)&amp;""- "", TRUE, FILTER(J$1:N$1&amp;"": ""&amp;J69:N69, NOT(ISBLANK(J69:N69))))))"),"- Finn: target 6.6
- Gib: Could be related to SDG 6 - ecosystem, but quite weak
- Steve: pressures on water-related ecosystems (even though not clearly stated)")</f>
        <v>- Finn: target 6.6
- Gib: Could be related to SDG 6 - ecosystem, but quite weak
- Steve: pressures on water-related ecosystems (even though not clearly stated)</v>
      </c>
      <c r="P69" s="43" t="s">
        <v>453</v>
      </c>
      <c r="Q69" s="45" t="s">
        <v>342</v>
      </c>
    </row>
    <row r="70">
      <c r="A70" s="12" t="s">
        <v>87</v>
      </c>
      <c r="B70" s="12" t="s">
        <v>88</v>
      </c>
      <c r="C70" s="7" t="s">
        <v>422</v>
      </c>
      <c r="D70" s="42" t="b">
        <f t="shared" ref="D70:H70" si="138">VLOOKUP($A70, INDIRECT(D$1&amp;"!A:C"), 3, FALSE)</f>
        <v>1</v>
      </c>
      <c r="E70" s="42" t="b">
        <f t="shared" si="138"/>
        <v>1</v>
      </c>
      <c r="F70" s="42" t="str">
        <f t="shared" si="138"/>
        <v>TO DO</v>
      </c>
      <c r="G70" s="42" t="b">
        <f t="shared" si="138"/>
        <v>1</v>
      </c>
      <c r="H70" s="42" t="b">
        <f t="shared" si="138"/>
        <v>0</v>
      </c>
      <c r="I70" s="43">
        <f t="shared" si="4"/>
        <v>0.5</v>
      </c>
      <c r="J70" s="44" t="str">
        <f t="shared" ref="J70:N70" si="139">VLOOKUP($A70, INDIRECT(J$1&amp;"!A:D"), 4, FALSE)</f>
        <v/>
      </c>
      <c r="K70" s="44" t="str">
        <f t="shared" si="139"/>
        <v/>
      </c>
      <c r="L70" s="44" t="str">
        <f t="shared" si="139"/>
        <v/>
      </c>
      <c r="M70" s="44" t="str">
        <f t="shared" si="139"/>
        <v>sanitation mentioned but not really about targets</v>
      </c>
      <c r="N70" s="44" t="str">
        <f t="shared" si="139"/>
        <v>not explicit enough on water sanitation interlinkages and their implications</v>
      </c>
      <c r="O70" s="43" t="str">
        <f>IFERROR(__xludf.DUMMYFUNCTION("IF(COUNTA(J70:N70)=0, """", ARRAYFORMULA(""- ""&amp;TEXTJOIN(char(10)&amp;""- "", TRUE, FILTER(J$1:N$1&amp;"": ""&amp;J70:N70, NOT(ISBLANK(J70:N70))))))"),"- Meike: sanitation mentioned but not really about targets
- Steve: not explicit enough on water sanitation interlinkages and their implications")</f>
        <v>- Meike: sanitation mentioned but not really about targets
- Steve: not explicit enough on water sanitation interlinkages and their implications</v>
      </c>
      <c r="P70" s="43" t="s">
        <v>454</v>
      </c>
      <c r="Q70" s="45" t="s">
        <v>342</v>
      </c>
    </row>
    <row r="71">
      <c r="A71" s="12" t="s">
        <v>211</v>
      </c>
      <c r="B71" s="12" t="s">
        <v>212</v>
      </c>
      <c r="C71" s="46"/>
      <c r="D71" s="42" t="b">
        <f t="shared" ref="D71:H71" si="140">VLOOKUP($A71, INDIRECT(D$1&amp;"!A:C"), 3, FALSE)</f>
        <v>0</v>
      </c>
      <c r="E71" s="42" t="b">
        <f t="shared" si="140"/>
        <v>0</v>
      </c>
      <c r="F71" s="42" t="str">
        <f t="shared" si="140"/>
        <v>TO DO</v>
      </c>
      <c r="G71" s="42" t="b">
        <f t="shared" si="140"/>
        <v>0</v>
      </c>
      <c r="H71" s="42" t="b">
        <f t="shared" si="140"/>
        <v>0</v>
      </c>
      <c r="I71" s="43">
        <f t="shared" si="4"/>
        <v>1</v>
      </c>
      <c r="J71" s="44" t="str">
        <f t="shared" ref="J71:N71" si="141">VLOOKUP($A71, INDIRECT(J$1&amp;"!A:D"), 4, FALSE)</f>
        <v/>
      </c>
      <c r="K71" s="44" t="str">
        <f t="shared" si="141"/>
        <v/>
      </c>
      <c r="L71" s="44" t="str">
        <f t="shared" si="141"/>
        <v/>
      </c>
      <c r="M71" s="44" t="str">
        <f t="shared" si="141"/>
        <v/>
      </c>
      <c r="N71" s="44" t="str">
        <f t="shared" si="141"/>
        <v/>
      </c>
      <c r="O71" s="43" t="str">
        <f>IFERROR(__xludf.DUMMYFUNCTION("IF(COUNTA(J71:N71)=0, """", ARRAYFORMULA(""- ""&amp;TEXTJOIN(char(10)&amp;""- "", TRUE, FILTER(J$1:N$1&amp;"": ""&amp;J71:N71, NOT(ISBLANK(J71:N71))))))"),"")</f>
        <v/>
      </c>
      <c r="P71" s="43" t="s">
        <v>425</v>
      </c>
      <c r="Q71" s="45" t="b">
        <v>0</v>
      </c>
    </row>
    <row r="72">
      <c r="A72" s="12" t="s">
        <v>209</v>
      </c>
      <c r="B72" s="12" t="s">
        <v>210</v>
      </c>
      <c r="C72" s="47" t="s">
        <v>422</v>
      </c>
      <c r="D72" s="42" t="b">
        <f t="shared" ref="D72:H72" si="142">VLOOKUP($A72, INDIRECT(D$1&amp;"!A:C"), 3, FALSE)</f>
        <v>1</v>
      </c>
      <c r="E72" s="42" t="b">
        <f t="shared" si="142"/>
        <v>1</v>
      </c>
      <c r="F72" s="42" t="str">
        <f t="shared" si="142"/>
        <v>TO DO</v>
      </c>
      <c r="G72" s="42" t="b">
        <f t="shared" si="142"/>
        <v>0</v>
      </c>
      <c r="H72" s="42" t="b">
        <f t="shared" si="142"/>
        <v>1</v>
      </c>
      <c r="I72" s="43">
        <f t="shared" si="4"/>
        <v>0.5</v>
      </c>
      <c r="J72" s="44" t="str">
        <f t="shared" ref="J72:N72" si="143">VLOOKUP($A72, INDIRECT(J$1&amp;"!A:D"), 4, FALSE)</f>
        <v/>
      </c>
      <c r="K72" s="44" t="str">
        <f t="shared" si="143"/>
        <v/>
      </c>
      <c r="L72" s="44" t="str">
        <f t="shared" si="143"/>
        <v/>
      </c>
      <c r="M72" s="44" t="str">
        <f t="shared" si="143"/>
        <v>only small reference to sewer</v>
      </c>
      <c r="N72" s="44" t="str">
        <f t="shared" si="143"/>
        <v/>
      </c>
      <c r="O72" s="43" t="str">
        <f>IFERROR(__xludf.DUMMYFUNCTION("IF(COUNTA(J72:N72)=0, """", ARRAYFORMULA(""- ""&amp;TEXTJOIN(char(10)&amp;""- "", TRUE, FILTER(J$1:N$1&amp;"": ""&amp;J72:N72, NOT(ISBLANK(J72:N72))))))"),"- Meike: only small reference to sewer")</f>
        <v>- Meike: only small reference to sewer</v>
      </c>
      <c r="P72" s="43" t="s">
        <v>455</v>
      </c>
      <c r="Q72" s="45" t="s">
        <v>342</v>
      </c>
    </row>
    <row r="73">
      <c r="A73" s="12" t="s">
        <v>119</v>
      </c>
      <c r="B73" s="12" t="s">
        <v>120</v>
      </c>
      <c r="C73" s="46"/>
      <c r="D73" s="42" t="b">
        <f t="shared" ref="D73:H73" si="144">VLOOKUP($A73, INDIRECT(D$1&amp;"!A:C"), 3, FALSE)</f>
        <v>1</v>
      </c>
      <c r="E73" s="42" t="b">
        <f t="shared" si="144"/>
        <v>1</v>
      </c>
      <c r="F73" s="42" t="str">
        <f t="shared" si="144"/>
        <v>TO DO</v>
      </c>
      <c r="G73" s="42" t="b">
        <f t="shared" si="144"/>
        <v>1</v>
      </c>
      <c r="H73" s="42" t="b">
        <f t="shared" si="144"/>
        <v>1</v>
      </c>
      <c r="I73" s="43">
        <f t="shared" si="4"/>
        <v>1</v>
      </c>
      <c r="J73" s="44" t="str">
        <f t="shared" ref="J73:N73" si="145">VLOOKUP($A73, INDIRECT(J$1&amp;"!A:D"), 4, FALSE)</f>
        <v/>
      </c>
      <c r="K73" s="44" t="str">
        <f t="shared" si="145"/>
        <v/>
      </c>
      <c r="L73" s="44" t="str">
        <f t="shared" si="145"/>
        <v/>
      </c>
      <c r="M73" s="44" t="str">
        <f t="shared" si="145"/>
        <v/>
      </c>
      <c r="N73" s="44" t="str">
        <f t="shared" si="145"/>
        <v/>
      </c>
      <c r="O73" s="43" t="str">
        <f>IFERROR(__xludf.DUMMYFUNCTION("IF(COUNTA(J73:N73)=0, """", ARRAYFORMULA(""- ""&amp;TEXTJOIN(char(10)&amp;""- "", TRUE, FILTER(J$1:N$1&amp;"": ""&amp;J73:N73, NOT(ISBLANK(J73:N73))))))"),"")</f>
        <v/>
      </c>
      <c r="P73" s="43" t="s">
        <v>425</v>
      </c>
      <c r="Q73" s="45" t="b">
        <v>1</v>
      </c>
    </row>
    <row r="74">
      <c r="A74" s="12" t="s">
        <v>247</v>
      </c>
      <c r="B74" s="12" t="s">
        <v>248</v>
      </c>
      <c r="C74" s="46"/>
      <c r="D74" s="42" t="b">
        <f t="shared" ref="D74:H74" si="146">VLOOKUP($A74, INDIRECT(D$1&amp;"!A:C"), 3, FALSE)</f>
        <v>1</v>
      </c>
      <c r="E74" s="42" t="b">
        <f t="shared" si="146"/>
        <v>1</v>
      </c>
      <c r="F74" s="42" t="str">
        <f t="shared" si="146"/>
        <v>TO DO</v>
      </c>
      <c r="G74" s="42" t="b">
        <f t="shared" si="146"/>
        <v>1</v>
      </c>
      <c r="H74" s="42" t="b">
        <f t="shared" si="146"/>
        <v>1</v>
      </c>
      <c r="I74" s="43">
        <f t="shared" si="4"/>
        <v>1</v>
      </c>
      <c r="J74" s="44" t="str">
        <f t="shared" ref="J74:N74" si="147">VLOOKUP($A74, INDIRECT(J$1&amp;"!A:D"), 4, FALSE)</f>
        <v/>
      </c>
      <c r="K74" s="44" t="str">
        <f t="shared" si="147"/>
        <v>borderline false. It mentions a concept that should be considered when measuring impacts or planing SDG-6 projects.</v>
      </c>
      <c r="L74" s="44" t="str">
        <f t="shared" si="147"/>
        <v/>
      </c>
      <c r="M74" s="44" t="str">
        <f t="shared" si="147"/>
        <v/>
      </c>
      <c r="N74" s="44" t="str">
        <f t="shared" si="147"/>
        <v/>
      </c>
      <c r="O74" s="43" t="str">
        <f>IFERROR(__xludf.DUMMYFUNCTION("IF(COUNTA(J74:N74)=0, """", ARRAYFORMULA(""- ""&amp;TEXTJOIN(char(10)&amp;""- "", TRUE, FILTER(J$1:N$1&amp;"": ""&amp;J74:N74, NOT(ISBLANK(J74:N74))))))"),"- Gib: borderline false. It mentions a concept that should be considered when measuring impacts or planing SDG-6 projects.")</f>
        <v>- Gib: borderline false. It mentions a concept that should be considered when measuring impacts or planing SDG-6 projects.</v>
      </c>
      <c r="P74" s="43" t="s">
        <v>456</v>
      </c>
      <c r="Q74" s="45" t="b">
        <v>1</v>
      </c>
    </row>
    <row r="75">
      <c r="A75" s="12" t="s">
        <v>181</v>
      </c>
      <c r="B75" s="12" t="s">
        <v>182</v>
      </c>
      <c r="C75" s="47"/>
      <c r="D75" s="42" t="b">
        <f t="shared" ref="D75:H75" si="148">VLOOKUP($A75, INDIRECT(D$1&amp;"!A:C"), 3, FALSE)</f>
        <v>0</v>
      </c>
      <c r="E75" s="42" t="b">
        <f t="shared" si="148"/>
        <v>0</v>
      </c>
      <c r="F75" s="42" t="str">
        <f t="shared" si="148"/>
        <v>TO DO</v>
      </c>
      <c r="G75" s="42" t="b">
        <f t="shared" si="148"/>
        <v>0</v>
      </c>
      <c r="H75" s="42" t="b">
        <f t="shared" si="148"/>
        <v>0</v>
      </c>
      <c r="I75" s="43">
        <f t="shared" si="4"/>
        <v>1</v>
      </c>
      <c r="J75" s="44" t="str">
        <f t="shared" ref="J75:N75" si="149">VLOOKUP($A75, INDIRECT(J$1&amp;"!A:D"), 4, FALSE)</f>
        <v/>
      </c>
      <c r="K75" s="44" t="str">
        <f t="shared" si="149"/>
        <v/>
      </c>
      <c r="L75" s="44" t="str">
        <f t="shared" si="149"/>
        <v/>
      </c>
      <c r="M75" s="44" t="str">
        <f t="shared" si="149"/>
        <v/>
      </c>
      <c r="N75" s="44" t="str">
        <f t="shared" si="149"/>
        <v/>
      </c>
      <c r="O75" s="43" t="str">
        <f>IFERROR(__xludf.DUMMYFUNCTION("IF(COUNTA(J75:N75)=0, """", ARRAYFORMULA(""- ""&amp;TEXTJOIN(char(10)&amp;""- "", TRUE, FILTER(J$1:N$1&amp;"": ""&amp;J75:N75, NOT(ISBLANK(J75:N75))))))"),"")</f>
        <v/>
      </c>
      <c r="P75" s="43" t="s">
        <v>425</v>
      </c>
      <c r="Q75" s="45" t="b">
        <v>0</v>
      </c>
    </row>
    <row r="76">
      <c r="A76" s="12" t="s">
        <v>259</v>
      </c>
      <c r="B76" s="12" t="s">
        <v>260</v>
      </c>
      <c r="C76" s="42"/>
      <c r="D76" s="42" t="b">
        <f t="shared" ref="D76:H76" si="150">VLOOKUP($A76, INDIRECT(D$1&amp;"!A:C"), 3, FALSE)</f>
        <v>1</v>
      </c>
      <c r="E76" s="42" t="str">
        <f t="shared" si="150"/>
        <v>TO DO</v>
      </c>
      <c r="F76" s="42" t="str">
        <f t="shared" si="150"/>
        <v>TO DO</v>
      </c>
      <c r="G76" s="42" t="b">
        <f t="shared" si="150"/>
        <v>1</v>
      </c>
      <c r="H76" s="42" t="b">
        <f t="shared" si="150"/>
        <v>1</v>
      </c>
      <c r="I76" s="43">
        <f t="shared" si="4"/>
        <v>1</v>
      </c>
      <c r="J76" s="44" t="str">
        <f t="shared" ref="J76:N76" si="151">VLOOKUP($A76, INDIRECT(J$1&amp;"!A:D"), 4, FALSE)</f>
        <v/>
      </c>
      <c r="K76" s="44" t="str">
        <f t="shared" si="151"/>
        <v/>
      </c>
      <c r="L76" s="44" t="str">
        <f t="shared" si="151"/>
        <v/>
      </c>
      <c r="M76" s="44" t="str">
        <f t="shared" si="151"/>
        <v/>
      </c>
      <c r="N76" s="44" t="str">
        <f t="shared" si="151"/>
        <v>water use efficiency</v>
      </c>
      <c r="O76" s="43" t="str">
        <f>IFERROR(__xludf.DUMMYFUNCTION("IF(COUNTA(J76:N76)=0, """", ARRAYFORMULA(""- ""&amp;TEXTJOIN(char(10)&amp;""- "", TRUE, FILTER(J$1:N$1&amp;"": ""&amp;J76:N76, NOT(ISBLANK(J76:N76))))))"),"- Steve: water use efficiency")</f>
        <v>- Steve: water use efficiency</v>
      </c>
      <c r="P76" s="43" t="s">
        <v>457</v>
      </c>
      <c r="Q76" s="45" t="b">
        <v>1</v>
      </c>
    </row>
    <row r="77">
      <c r="A77" s="12" t="s">
        <v>241</v>
      </c>
      <c r="B77" s="12" t="s">
        <v>242</v>
      </c>
      <c r="C77" s="47" t="s">
        <v>437</v>
      </c>
      <c r="D77" s="42" t="b">
        <f t="shared" ref="D77:H77" si="152">VLOOKUP($A77, INDIRECT(D$1&amp;"!A:C"), 3, FALSE)</f>
        <v>1</v>
      </c>
      <c r="E77" s="42" t="b">
        <f t="shared" si="152"/>
        <v>0</v>
      </c>
      <c r="F77" s="42" t="str">
        <f t="shared" si="152"/>
        <v>TO DO</v>
      </c>
      <c r="G77" s="42" t="b">
        <f t="shared" si="152"/>
        <v>0</v>
      </c>
      <c r="H77" s="42" t="b">
        <f t="shared" si="152"/>
        <v>1</v>
      </c>
      <c r="I77" s="43">
        <f t="shared" si="4"/>
        <v>0</v>
      </c>
      <c r="J77" s="44" t="str">
        <f t="shared" ref="J77:N77" si="153">VLOOKUP($A77, INDIRECT(J$1&amp;"!A:D"), 4, FALSE)</f>
        <v/>
      </c>
      <c r="K77" s="44" t="str">
        <f t="shared" si="153"/>
        <v/>
      </c>
      <c r="L77" s="44" t="str">
        <f t="shared" si="153"/>
        <v/>
      </c>
      <c r="M77" s="44" t="str">
        <f t="shared" si="153"/>
        <v/>
      </c>
      <c r="N77" s="44" t="str">
        <f t="shared" si="153"/>
        <v>water resource conservation</v>
      </c>
      <c r="O77" s="43" t="str">
        <f>IFERROR(__xludf.DUMMYFUNCTION("IF(COUNTA(J77:N77)=0, """", ARRAYFORMULA(""- ""&amp;TEXTJOIN(char(10)&amp;""- "", TRUE, FILTER(J$1:N$1&amp;"": ""&amp;J77:N77, NOT(ISBLANK(J77:N77))))))"),"- Steve: water resource conservation")</f>
        <v>- Steve: water resource conservation</v>
      </c>
      <c r="P77" s="43" t="s">
        <v>458</v>
      </c>
      <c r="Q77" s="45" t="s">
        <v>342</v>
      </c>
    </row>
    <row r="78">
      <c r="A78" s="12" t="s">
        <v>204</v>
      </c>
      <c r="B78" s="12" t="s">
        <v>205</v>
      </c>
      <c r="C78" s="47" t="s">
        <v>440</v>
      </c>
      <c r="D78" s="42" t="b">
        <f t="shared" ref="D78:H78" si="154">VLOOKUP($A78, INDIRECT(D$1&amp;"!A:C"), 3, FALSE)</f>
        <v>1</v>
      </c>
      <c r="E78" s="42" t="str">
        <f t="shared" si="154"/>
        <v>SKIP</v>
      </c>
      <c r="F78" s="42" t="str">
        <f t="shared" si="154"/>
        <v>TO DO</v>
      </c>
      <c r="G78" s="42" t="b">
        <f t="shared" si="154"/>
        <v>0</v>
      </c>
      <c r="H78" s="42" t="b">
        <f t="shared" si="154"/>
        <v>1</v>
      </c>
      <c r="I78" s="43">
        <f t="shared" si="4"/>
        <v>0.25</v>
      </c>
      <c r="J78" s="44" t="str">
        <f t="shared" ref="J78:N78" si="155">VLOOKUP($A78, INDIRECT(J$1&amp;"!A:D"), 4, FALSE)</f>
        <v>sanitation</v>
      </c>
      <c r="K78" s="44" t="str">
        <f t="shared" si="155"/>
        <v>sounds like sanitation related, but the abbreviations SCWS and ICU pilots confused me</v>
      </c>
      <c r="L78" s="44" t="str">
        <f t="shared" si="155"/>
        <v/>
      </c>
      <c r="M78" s="44" t="str">
        <f t="shared" si="155"/>
        <v/>
      </c>
      <c r="N78" s="44" t="str">
        <f t="shared" si="155"/>
        <v>sanitation</v>
      </c>
      <c r="O78" s="43" t="str">
        <f>IFERROR(__xludf.DUMMYFUNCTION("IF(COUNTA(J78:N78)=0, """", ARRAYFORMULA(""- ""&amp;TEXTJOIN(char(10)&amp;""- "", TRUE, FILTER(J$1:N$1&amp;"": ""&amp;J78:N78, NOT(ISBLANK(J78:N78))))))"),"- Finn: sanitation
- Gib: sounds like sanitation related, but the abbreviations SCWS and ICU pilots confused me
- Steve: sanitation")</f>
        <v>- Finn: sanitation
- Gib: sounds like sanitation related, but the abbreviations SCWS and ICU pilots confused me
- Steve: sanitation</v>
      </c>
      <c r="P78" s="43" t="s">
        <v>459</v>
      </c>
      <c r="Q78" s="45" t="s">
        <v>342</v>
      </c>
    </row>
    <row r="79">
      <c r="A79" s="12" t="s">
        <v>219</v>
      </c>
      <c r="B79" s="12" t="s">
        <v>220</v>
      </c>
      <c r="C79" s="46"/>
      <c r="D79" s="42" t="b">
        <f t="shared" ref="D79:H79" si="156">VLOOKUP($A79, INDIRECT(D$1&amp;"!A:C"), 3, FALSE)</f>
        <v>1</v>
      </c>
      <c r="E79" s="42" t="b">
        <f t="shared" si="156"/>
        <v>1</v>
      </c>
      <c r="F79" s="42" t="str">
        <f t="shared" si="156"/>
        <v>TO DO</v>
      </c>
      <c r="G79" s="42" t="b">
        <f t="shared" si="156"/>
        <v>1</v>
      </c>
      <c r="H79" s="42" t="b">
        <f t="shared" si="156"/>
        <v>1</v>
      </c>
      <c r="I79" s="43">
        <f t="shared" si="4"/>
        <v>1</v>
      </c>
      <c r="J79" s="44" t="str">
        <f t="shared" ref="J79:N79" si="157">VLOOKUP($A79, INDIRECT(J$1&amp;"!A:D"), 4, FALSE)</f>
        <v/>
      </c>
      <c r="K79" s="44" t="str">
        <f t="shared" si="157"/>
        <v/>
      </c>
      <c r="L79" s="44" t="str">
        <f t="shared" si="157"/>
        <v/>
      </c>
      <c r="M79" s="44" t="str">
        <f t="shared" si="157"/>
        <v>general theme</v>
      </c>
      <c r="N79" s="44" t="str">
        <f t="shared" si="157"/>
        <v/>
      </c>
      <c r="O79" s="43" t="str">
        <f>IFERROR(__xludf.DUMMYFUNCTION("IF(COUNTA(J79:N79)=0, """", ARRAYFORMULA(""- ""&amp;TEXTJOIN(char(10)&amp;""- "", TRUE, FILTER(J$1:N$1&amp;"": ""&amp;J79:N79, NOT(ISBLANK(J79:N79))))))"),"- Meike: general theme")</f>
        <v>- Meike: general theme</v>
      </c>
      <c r="P79" s="43" t="s">
        <v>460</v>
      </c>
      <c r="Q79" s="45" t="b">
        <v>1</v>
      </c>
    </row>
    <row r="80">
      <c r="A80" s="12" t="s">
        <v>267</v>
      </c>
      <c r="B80" s="12" t="s">
        <v>268</v>
      </c>
      <c r="C80" s="46"/>
      <c r="D80" s="42" t="b">
        <f t="shared" ref="D80:H80" si="158">VLOOKUP($A80, INDIRECT(D$1&amp;"!A:C"), 3, FALSE)</f>
        <v>0</v>
      </c>
      <c r="E80" s="42" t="b">
        <f t="shared" si="158"/>
        <v>0</v>
      </c>
      <c r="F80" s="42" t="str">
        <f t="shared" si="158"/>
        <v>TO DO</v>
      </c>
      <c r="G80" s="42" t="b">
        <f t="shared" si="158"/>
        <v>0</v>
      </c>
      <c r="H80" s="42" t="b">
        <f t="shared" si="158"/>
        <v>0</v>
      </c>
      <c r="I80" s="43">
        <f t="shared" si="4"/>
        <v>1</v>
      </c>
      <c r="J80" s="44" t="str">
        <f t="shared" ref="J80:N80" si="159">VLOOKUP($A80, INDIRECT(J$1&amp;"!A:D"), 4, FALSE)</f>
        <v/>
      </c>
      <c r="K80" s="44" t="str">
        <f t="shared" si="159"/>
        <v/>
      </c>
      <c r="L80" s="44" t="str">
        <f t="shared" si="159"/>
        <v/>
      </c>
      <c r="M80" s="44" t="str">
        <f t="shared" si="159"/>
        <v/>
      </c>
      <c r="N80" s="44" t="str">
        <f t="shared" si="159"/>
        <v/>
      </c>
      <c r="O80" s="43" t="str">
        <f>IFERROR(__xludf.DUMMYFUNCTION("IF(COUNTA(J80:N80)=0, """", ARRAYFORMULA(""- ""&amp;TEXTJOIN(char(10)&amp;""- "", TRUE, FILTER(J$1:N$1&amp;"": ""&amp;J80:N80, NOT(ISBLANK(J80:N80))))))"),"")</f>
        <v/>
      </c>
      <c r="P80" s="43" t="s">
        <v>425</v>
      </c>
      <c r="Q80" s="45" t="b">
        <v>0</v>
      </c>
    </row>
    <row r="81">
      <c r="A81" s="12" t="s">
        <v>123</v>
      </c>
      <c r="B81" s="12" t="s">
        <v>124</v>
      </c>
      <c r="C81" s="7"/>
      <c r="D81" s="42" t="b">
        <f t="shared" ref="D81:H81" si="160">VLOOKUP($A81, INDIRECT(D$1&amp;"!A:C"), 3, FALSE)</f>
        <v>1</v>
      </c>
      <c r="E81" s="42" t="b">
        <f t="shared" si="160"/>
        <v>1</v>
      </c>
      <c r="F81" s="42" t="str">
        <f t="shared" si="160"/>
        <v>TO DO</v>
      </c>
      <c r="G81" s="42" t="b">
        <f t="shared" si="160"/>
        <v>1</v>
      </c>
      <c r="H81" s="42" t="b">
        <f t="shared" si="160"/>
        <v>1</v>
      </c>
      <c r="I81" s="43">
        <f t="shared" si="4"/>
        <v>1</v>
      </c>
      <c r="J81" s="44" t="str">
        <f t="shared" ref="J81:N81" si="161">VLOOKUP($A81, INDIRECT(J$1&amp;"!A:D"), 4, FALSE)</f>
        <v>target 6.b</v>
      </c>
      <c r="K81" s="44" t="str">
        <f t="shared" si="161"/>
        <v/>
      </c>
      <c r="L81" s="44" t="str">
        <f t="shared" si="161"/>
        <v/>
      </c>
      <c r="M81" s="44" t="str">
        <f t="shared" si="161"/>
        <v/>
      </c>
      <c r="N81" s="44" t="str">
        <f t="shared" si="161"/>
        <v/>
      </c>
      <c r="O81" s="43" t="str">
        <f>IFERROR(__xludf.DUMMYFUNCTION("IF(COUNTA(J81:N81)=0, """", ARRAYFORMULA(""- ""&amp;TEXTJOIN(char(10)&amp;""- "", TRUE, FILTER(J$1:N$1&amp;"": ""&amp;J81:N81, NOT(ISBLANK(J81:N81))))))"),"- Finn: target 6.b")</f>
        <v>- Finn: target 6.b</v>
      </c>
      <c r="P81" s="43" t="s">
        <v>461</v>
      </c>
      <c r="Q81" s="45" t="b">
        <v>1</v>
      </c>
    </row>
    <row r="82">
      <c r="A82" s="12" t="s">
        <v>83</v>
      </c>
      <c r="B82" s="12" t="s">
        <v>84</v>
      </c>
      <c r="C82" s="46"/>
      <c r="D82" s="42" t="b">
        <f t="shared" ref="D82:H82" si="162">VLOOKUP($A82, INDIRECT(D$1&amp;"!A:C"), 3, FALSE)</f>
        <v>1</v>
      </c>
      <c r="E82" s="42" t="b">
        <f t="shared" si="162"/>
        <v>1</v>
      </c>
      <c r="F82" s="42" t="str">
        <f t="shared" si="162"/>
        <v>TO DO</v>
      </c>
      <c r="G82" s="42" t="b">
        <f t="shared" si="162"/>
        <v>1</v>
      </c>
      <c r="H82" s="42" t="b">
        <f t="shared" si="162"/>
        <v>1</v>
      </c>
      <c r="I82" s="43">
        <f t="shared" si="4"/>
        <v>1</v>
      </c>
      <c r="J82" s="44" t="str">
        <f t="shared" ref="J82:N82" si="163">VLOOKUP($A82, INDIRECT(J$1&amp;"!A:D"), 4, FALSE)</f>
        <v/>
      </c>
      <c r="K82" s="44" t="str">
        <f t="shared" si="163"/>
        <v/>
      </c>
      <c r="L82" s="44" t="str">
        <f t="shared" si="163"/>
        <v/>
      </c>
      <c r="M82" s="44" t="str">
        <f t="shared" si="163"/>
        <v/>
      </c>
      <c r="N82" s="44" t="str">
        <f t="shared" si="163"/>
        <v/>
      </c>
      <c r="O82" s="43" t="str">
        <f>IFERROR(__xludf.DUMMYFUNCTION("IF(COUNTA(J82:N82)=0, """", ARRAYFORMULA(""- ""&amp;TEXTJOIN(char(10)&amp;""- "", TRUE, FILTER(J$1:N$1&amp;"": ""&amp;J82:N82, NOT(ISBLANK(J82:N82))))))"),"")</f>
        <v/>
      </c>
      <c r="P82" s="43" t="s">
        <v>425</v>
      </c>
      <c r="Q82" s="45" t="b">
        <v>1</v>
      </c>
    </row>
    <row r="83">
      <c r="A83" s="12" t="s">
        <v>130</v>
      </c>
      <c r="B83" s="12" t="s">
        <v>131</v>
      </c>
      <c r="C83" s="46"/>
      <c r="D83" s="42" t="b">
        <f t="shared" ref="D83:H83" si="164">VLOOKUP($A83, INDIRECT(D$1&amp;"!A:C"), 3, FALSE)</f>
        <v>0</v>
      </c>
      <c r="E83" s="42" t="b">
        <f t="shared" si="164"/>
        <v>0</v>
      </c>
      <c r="F83" s="42" t="str">
        <f t="shared" si="164"/>
        <v>TO DO</v>
      </c>
      <c r="G83" s="42" t="b">
        <f t="shared" si="164"/>
        <v>0</v>
      </c>
      <c r="H83" s="42" t="b">
        <f t="shared" si="164"/>
        <v>0</v>
      </c>
      <c r="I83" s="43">
        <f t="shared" si="4"/>
        <v>1</v>
      </c>
      <c r="J83" s="44" t="str">
        <f t="shared" ref="J83:N83" si="165">VLOOKUP($A83, INDIRECT(J$1&amp;"!A:D"), 4, FALSE)</f>
        <v/>
      </c>
      <c r="K83" s="44" t="str">
        <f t="shared" si="165"/>
        <v/>
      </c>
      <c r="L83" s="44" t="str">
        <f t="shared" si="165"/>
        <v/>
      </c>
      <c r="M83" s="44" t="str">
        <f t="shared" si="165"/>
        <v/>
      </c>
      <c r="N83" s="44" t="str">
        <f t="shared" si="165"/>
        <v/>
      </c>
      <c r="O83" s="43" t="str">
        <f>IFERROR(__xludf.DUMMYFUNCTION("IF(COUNTA(J83:N83)=0, """", ARRAYFORMULA(""- ""&amp;TEXTJOIN(char(10)&amp;""- "", TRUE, FILTER(J$1:N$1&amp;"": ""&amp;J83:N83, NOT(ISBLANK(J83:N83))))))"),"")</f>
        <v/>
      </c>
      <c r="P83" s="43" t="s">
        <v>425</v>
      </c>
      <c r="Q83" s="45" t="b">
        <v>0</v>
      </c>
    </row>
    <row r="84">
      <c r="A84" s="12" t="s">
        <v>175</v>
      </c>
      <c r="B84" s="12" t="s">
        <v>176</v>
      </c>
      <c r="C84" s="47" t="s">
        <v>422</v>
      </c>
      <c r="D84" s="42" t="b">
        <f t="shared" ref="D84:H84" si="166">VLOOKUP($A84, INDIRECT(D$1&amp;"!A:C"), 3, FALSE)</f>
        <v>1</v>
      </c>
      <c r="E84" s="42" t="b">
        <f t="shared" si="166"/>
        <v>1</v>
      </c>
      <c r="F84" s="42" t="str">
        <f t="shared" si="166"/>
        <v>TO DO</v>
      </c>
      <c r="G84" s="42" t="b">
        <f t="shared" si="166"/>
        <v>0</v>
      </c>
      <c r="H84" s="42" t="b">
        <f t="shared" si="166"/>
        <v>1</v>
      </c>
      <c r="I84" s="43">
        <f t="shared" si="4"/>
        <v>0.5</v>
      </c>
      <c r="J84" s="44" t="str">
        <f t="shared" ref="J84:N84" si="167">VLOOKUP($A84, INDIRECT(J$1&amp;"!A:D"), 4, FALSE)</f>
        <v/>
      </c>
      <c r="K84" s="44" t="str">
        <f t="shared" si="167"/>
        <v/>
      </c>
      <c r="L84" s="44" t="str">
        <f t="shared" si="167"/>
        <v/>
      </c>
      <c r="M84" s="44" t="str">
        <f t="shared" si="167"/>
        <v>mentions wastewater but not about how to reduce pollution</v>
      </c>
      <c r="N84" s="44" t="str">
        <f t="shared" si="167"/>
        <v/>
      </c>
      <c r="O84" s="43" t="str">
        <f>IFERROR(__xludf.DUMMYFUNCTION("IF(COUNTA(J84:N84)=0, """", ARRAYFORMULA(""- ""&amp;TEXTJOIN(char(10)&amp;""- "", TRUE, FILTER(J$1:N$1&amp;"": ""&amp;J84:N84, NOT(ISBLANK(J84:N84))))))"),"- Meike: mentions wastewater but not about how to reduce pollution")</f>
        <v>- Meike: mentions wastewater but not about how to reduce pollution</v>
      </c>
      <c r="P84" s="43" t="s">
        <v>462</v>
      </c>
      <c r="Q84" s="45" t="s">
        <v>342</v>
      </c>
    </row>
    <row r="85">
      <c r="A85" s="12" t="s">
        <v>200</v>
      </c>
      <c r="B85" s="12" t="s">
        <v>201</v>
      </c>
      <c r="C85" s="47"/>
      <c r="D85" s="42" t="b">
        <f t="shared" ref="D85:H85" si="168">VLOOKUP($A85, INDIRECT(D$1&amp;"!A:C"), 3, FALSE)</f>
        <v>1</v>
      </c>
      <c r="E85" s="42" t="b">
        <f t="shared" si="168"/>
        <v>1</v>
      </c>
      <c r="F85" s="42" t="str">
        <f t="shared" si="168"/>
        <v>TO DO</v>
      </c>
      <c r="G85" s="42" t="b">
        <f t="shared" si="168"/>
        <v>1</v>
      </c>
      <c r="H85" s="42" t="b">
        <f t="shared" si="168"/>
        <v>1</v>
      </c>
      <c r="I85" s="43">
        <f t="shared" si="4"/>
        <v>1</v>
      </c>
      <c r="J85" s="44" t="str">
        <f t="shared" ref="J85:N85" si="169">VLOOKUP($A85, INDIRECT(J$1&amp;"!A:D"), 4, FALSE)</f>
        <v/>
      </c>
      <c r="K85" s="44" t="str">
        <f t="shared" si="169"/>
        <v/>
      </c>
      <c r="L85" s="44" t="str">
        <f t="shared" si="169"/>
        <v/>
      </c>
      <c r="M85" s="44" t="str">
        <f t="shared" si="169"/>
        <v/>
      </c>
      <c r="N85" s="44" t="str">
        <f t="shared" si="169"/>
        <v/>
      </c>
      <c r="O85" s="43" t="str">
        <f>IFERROR(__xludf.DUMMYFUNCTION("IF(COUNTA(J85:N85)=0, """", ARRAYFORMULA(""- ""&amp;TEXTJOIN(char(10)&amp;""- "", TRUE, FILTER(J$1:N$1&amp;"": ""&amp;J85:N85, NOT(ISBLANK(J85:N85))))))"),"")</f>
        <v/>
      </c>
      <c r="P85" s="43" t="s">
        <v>425</v>
      </c>
      <c r="Q85" s="45" t="b">
        <v>1</v>
      </c>
    </row>
    <row r="86">
      <c r="A86" s="12" t="s">
        <v>261</v>
      </c>
      <c r="B86" s="12" t="s">
        <v>262</v>
      </c>
      <c r="C86" s="7"/>
      <c r="D86" s="42" t="b">
        <f t="shared" ref="D86:H86" si="170">VLOOKUP($A86, INDIRECT(D$1&amp;"!A:C"), 3, FALSE)</f>
        <v>1</v>
      </c>
      <c r="E86" s="42" t="str">
        <f t="shared" si="170"/>
        <v>TO DO</v>
      </c>
      <c r="F86" s="42" t="str">
        <f t="shared" si="170"/>
        <v>TO DO</v>
      </c>
      <c r="G86" s="42" t="b">
        <f t="shared" si="170"/>
        <v>1</v>
      </c>
      <c r="H86" s="42" t="b">
        <f t="shared" si="170"/>
        <v>1</v>
      </c>
      <c r="I86" s="43">
        <f t="shared" si="4"/>
        <v>1</v>
      </c>
      <c r="J86" s="44" t="str">
        <f t="shared" ref="J86:N86" si="171">VLOOKUP($A86, INDIRECT(J$1&amp;"!A:D"), 4, FALSE)</f>
        <v/>
      </c>
      <c r="K86" s="44" t="str">
        <f t="shared" si="171"/>
        <v/>
      </c>
      <c r="L86" s="44" t="str">
        <f t="shared" si="171"/>
        <v/>
      </c>
      <c r="M86" s="44" t="str">
        <f t="shared" si="171"/>
        <v/>
      </c>
      <c r="N86" s="44" t="str">
        <f t="shared" si="171"/>
        <v/>
      </c>
      <c r="O86" s="43" t="str">
        <f>IFERROR(__xludf.DUMMYFUNCTION("IF(COUNTA(J86:N86)=0, """", ARRAYFORMULA(""- ""&amp;TEXTJOIN(char(10)&amp;""- "", TRUE, FILTER(J$1:N$1&amp;"": ""&amp;J86:N86, NOT(ISBLANK(J86:N86))))))"),"")</f>
        <v/>
      </c>
      <c r="P86" s="43" t="s">
        <v>425</v>
      </c>
      <c r="Q86" s="45" t="b">
        <v>1</v>
      </c>
    </row>
    <row r="87">
      <c r="A87" s="12" t="s">
        <v>169</v>
      </c>
      <c r="B87" s="12" t="s">
        <v>170</v>
      </c>
      <c r="C87" s="7"/>
      <c r="D87" s="42" t="b">
        <f t="shared" ref="D87:H87" si="172">VLOOKUP($A87, INDIRECT(D$1&amp;"!A:C"), 3, FALSE)</f>
        <v>0</v>
      </c>
      <c r="E87" s="42" t="b">
        <f t="shared" si="172"/>
        <v>0</v>
      </c>
      <c r="F87" s="42" t="str">
        <f t="shared" si="172"/>
        <v>TO DO</v>
      </c>
      <c r="G87" s="42" t="b">
        <f t="shared" si="172"/>
        <v>0</v>
      </c>
      <c r="H87" s="42" t="b">
        <f t="shared" si="172"/>
        <v>0</v>
      </c>
      <c r="I87" s="43">
        <f t="shared" si="4"/>
        <v>1</v>
      </c>
      <c r="J87" s="44" t="str">
        <f t="shared" ref="J87:N87" si="173">VLOOKUP($A87, INDIRECT(J$1&amp;"!A:D"), 4, FALSE)</f>
        <v/>
      </c>
      <c r="K87" s="44" t="str">
        <f t="shared" si="173"/>
        <v>Just a description of the state of river. Related to SDG-6 as a piece of information for policy design or for measuring the policy impact. But it is not related to targets.</v>
      </c>
      <c r="L87" s="44" t="str">
        <f t="shared" si="173"/>
        <v/>
      </c>
      <c r="M87" s="44" t="str">
        <f t="shared" si="173"/>
        <v/>
      </c>
      <c r="N87" s="44" t="str">
        <f t="shared" si="173"/>
        <v>not directly linked to SDG 6 objectives, water-related aspects not enough</v>
      </c>
      <c r="O87" s="43" t="str">
        <f>IFERROR(__xludf.DUMMYFUNCTION("IF(COUNTA(J87:N87)=0, """", ARRAYFORMULA(""- ""&amp;TEXTJOIN(char(10)&amp;""- "", TRUE, FILTER(J$1:N$1&amp;"": ""&amp;J87:N87, NOT(ISBLANK(J87:N87))))))"),"- Gib: Just a description of the state of river. Related to SDG-6 as a piece of information for policy design or for measuring the policy impact. But it is not related to targets.
- Steve: not directly linked to SDG 6 objectives, water-related aspects not"&amp;" enough")</f>
        <v>- Gib: Just a description of the state of river. Related to SDG-6 as a piece of information for policy design or for measuring the policy impact. But it is not related to targets.
- Steve: not directly linked to SDG 6 objectives, water-related aspects not enough</v>
      </c>
      <c r="P87" s="43" t="s">
        <v>463</v>
      </c>
      <c r="Q87" s="45" t="b">
        <v>0</v>
      </c>
    </row>
    <row r="88">
      <c r="A88" s="12" t="s">
        <v>109</v>
      </c>
      <c r="B88" s="12" t="s">
        <v>110</v>
      </c>
      <c r="C88" s="46"/>
      <c r="D88" s="42" t="b">
        <f t="shared" ref="D88:H88" si="174">VLOOKUP($A88, INDIRECT(D$1&amp;"!A:C"), 3, FALSE)</f>
        <v>1</v>
      </c>
      <c r="E88" s="42" t="b">
        <f t="shared" si="174"/>
        <v>1</v>
      </c>
      <c r="F88" s="42" t="str">
        <f t="shared" si="174"/>
        <v>TO DO</v>
      </c>
      <c r="G88" s="42" t="b">
        <f t="shared" si="174"/>
        <v>1</v>
      </c>
      <c r="H88" s="42" t="b">
        <f t="shared" si="174"/>
        <v>1</v>
      </c>
      <c r="I88" s="43">
        <f t="shared" si="4"/>
        <v>1</v>
      </c>
      <c r="J88" s="44" t="str">
        <f t="shared" ref="J88:N88" si="175">VLOOKUP($A88, INDIRECT(J$1&amp;"!A:D"), 4, FALSE)</f>
        <v/>
      </c>
      <c r="K88" s="44" t="str">
        <f t="shared" si="175"/>
        <v/>
      </c>
      <c r="L88" s="44" t="str">
        <f t="shared" si="175"/>
        <v/>
      </c>
      <c r="M88" s="44" t="str">
        <f t="shared" si="175"/>
        <v/>
      </c>
      <c r="N88" s="44" t="str">
        <f t="shared" si="175"/>
        <v/>
      </c>
      <c r="O88" s="43" t="str">
        <f>IFERROR(__xludf.DUMMYFUNCTION("IF(COUNTA(J88:N88)=0, """", ARRAYFORMULA(""- ""&amp;TEXTJOIN(char(10)&amp;""- "", TRUE, FILTER(J$1:N$1&amp;"": ""&amp;J88:N88, NOT(ISBLANK(J88:N88))))))"),"")</f>
        <v/>
      </c>
      <c r="P88" s="43" t="s">
        <v>425</v>
      </c>
      <c r="Q88" s="45" t="b">
        <v>1</v>
      </c>
    </row>
    <row r="89">
      <c r="A89" s="12" t="s">
        <v>140</v>
      </c>
      <c r="B89" s="12" t="s">
        <v>141</v>
      </c>
      <c r="C89" s="46"/>
      <c r="D89" s="42" t="b">
        <f t="shared" ref="D89:H89" si="176">VLOOKUP($A89, INDIRECT(D$1&amp;"!A:C"), 3, FALSE)</f>
        <v>1</v>
      </c>
      <c r="E89" s="42" t="b">
        <f t="shared" si="176"/>
        <v>1</v>
      </c>
      <c r="F89" s="42" t="str">
        <f t="shared" si="176"/>
        <v>TO DO</v>
      </c>
      <c r="G89" s="42" t="b">
        <f t="shared" si="176"/>
        <v>1</v>
      </c>
      <c r="H89" s="42" t="b">
        <f t="shared" si="176"/>
        <v>1</v>
      </c>
      <c r="I89" s="43">
        <f t="shared" si="4"/>
        <v>1</v>
      </c>
      <c r="J89" s="44" t="str">
        <f t="shared" ref="J89:N89" si="177">VLOOKUP($A89, INDIRECT(J$1&amp;"!A:D"), 4, FALSE)</f>
        <v/>
      </c>
      <c r="K89" s="44" t="str">
        <f t="shared" si="177"/>
        <v/>
      </c>
      <c r="L89" s="44" t="str">
        <f t="shared" si="177"/>
        <v/>
      </c>
      <c r="M89" s="44" t="str">
        <f t="shared" si="177"/>
        <v/>
      </c>
      <c r="N89" s="44" t="str">
        <f t="shared" si="177"/>
        <v/>
      </c>
      <c r="O89" s="43" t="str">
        <f>IFERROR(__xludf.DUMMYFUNCTION("IF(COUNTA(J89:N89)=0, """", ARRAYFORMULA(""- ""&amp;TEXTJOIN(char(10)&amp;""- "", TRUE, FILTER(J$1:N$1&amp;"": ""&amp;J89:N89, NOT(ISBLANK(J89:N89))))))"),"")</f>
        <v/>
      </c>
      <c r="P89" s="43" t="s">
        <v>425</v>
      </c>
      <c r="Q89" s="45" t="b">
        <v>1</v>
      </c>
    </row>
    <row r="90">
      <c r="A90" s="12" t="s">
        <v>165</v>
      </c>
      <c r="B90" s="12" t="s">
        <v>166</v>
      </c>
      <c r="C90" s="47" t="s">
        <v>422</v>
      </c>
      <c r="D90" s="42" t="b">
        <f t="shared" ref="D90:H90" si="178">VLOOKUP($A90, INDIRECT(D$1&amp;"!A:C"), 3, FALSE)</f>
        <v>0</v>
      </c>
      <c r="E90" s="42" t="b">
        <f t="shared" si="178"/>
        <v>0</v>
      </c>
      <c r="F90" s="42" t="str">
        <f t="shared" si="178"/>
        <v>TO DO</v>
      </c>
      <c r="G90" s="42" t="b">
        <f t="shared" si="178"/>
        <v>0</v>
      </c>
      <c r="H90" s="42" t="b">
        <f t="shared" si="178"/>
        <v>1</v>
      </c>
      <c r="I90" s="43">
        <f t="shared" si="4"/>
        <v>0.5</v>
      </c>
      <c r="J90" s="44" t="str">
        <f t="shared" ref="J90:N90" si="179">VLOOKUP($A90, INDIRECT(J$1&amp;"!A:D"), 4, FALSE)</f>
        <v/>
      </c>
      <c r="K90" s="44" t="str">
        <f t="shared" si="179"/>
        <v/>
      </c>
      <c r="L90" s="44" t="str">
        <f t="shared" si="179"/>
        <v/>
      </c>
      <c r="M90" s="44" t="str">
        <f t="shared" si="179"/>
        <v/>
      </c>
      <c r="N90" s="44" t="str">
        <f t="shared" si="179"/>
        <v>6.b</v>
      </c>
      <c r="O90" s="43" t="str">
        <f>IFERROR(__xludf.DUMMYFUNCTION("IF(COUNTA(J90:N90)=0, """", ARRAYFORMULA(""- ""&amp;TEXTJOIN(char(10)&amp;""- "", TRUE, FILTER(J$1:N$1&amp;"": ""&amp;J90:N90, NOT(ISBLANK(J90:N90))))))"),"- Steve: 6.b")</f>
        <v>- Steve: 6.b</v>
      </c>
      <c r="P90" s="43" t="s">
        <v>464</v>
      </c>
      <c r="Q90" s="45" t="s">
        <v>342</v>
      </c>
    </row>
    <row r="91">
      <c r="A91" s="12" t="s">
        <v>243</v>
      </c>
      <c r="B91" s="12" t="s">
        <v>244</v>
      </c>
      <c r="C91" s="47" t="s">
        <v>422</v>
      </c>
      <c r="D91" s="42" t="b">
        <f t="shared" ref="D91:H91" si="180">VLOOKUP($A91, INDIRECT(D$1&amp;"!A:C"), 3, FALSE)</f>
        <v>1</v>
      </c>
      <c r="E91" s="42" t="b">
        <f t="shared" si="180"/>
        <v>1</v>
      </c>
      <c r="F91" s="42" t="str">
        <f t="shared" si="180"/>
        <v>TO DO</v>
      </c>
      <c r="G91" s="42" t="b">
        <f t="shared" si="180"/>
        <v>0</v>
      </c>
      <c r="H91" s="42" t="b">
        <f t="shared" si="180"/>
        <v>1</v>
      </c>
      <c r="I91" s="43">
        <f t="shared" si="4"/>
        <v>0.5</v>
      </c>
      <c r="J91" s="44" t="str">
        <f t="shared" ref="J91:N91" si="181">VLOOKUP($A91, INDIRECT(J$1&amp;"!A:D"), 4, FALSE)</f>
        <v/>
      </c>
      <c r="K91" s="44" t="str">
        <f t="shared" si="181"/>
        <v/>
      </c>
      <c r="L91" s="44" t="str">
        <f t="shared" si="181"/>
        <v/>
      </c>
      <c r="M91" s="44" t="str">
        <f t="shared" si="181"/>
        <v>more about finances than about fulfilling the goals</v>
      </c>
      <c r="N91" s="44">
        <f t="shared" si="181"/>
        <v>6.3</v>
      </c>
      <c r="O91" s="43" t="str">
        <f>IFERROR(__xludf.DUMMYFUNCTION("IF(COUNTA(J91:N91)=0, """", ARRAYFORMULA(""- ""&amp;TEXTJOIN(char(10)&amp;""- "", TRUE, FILTER(J$1:N$1&amp;"": ""&amp;J91:N91, NOT(ISBLANK(J91:N91))))))"),"- Meike: more about finances than about fulfilling the goals
- Steve: 6.3")</f>
        <v>- Meike: more about finances than about fulfilling the goals
- Steve: 6.3</v>
      </c>
      <c r="P91" s="43" t="s">
        <v>465</v>
      </c>
      <c r="Q91" s="45" t="s">
        <v>342</v>
      </c>
    </row>
    <row r="92">
      <c r="A92" s="12" t="s">
        <v>79</v>
      </c>
      <c r="B92" s="12" t="s">
        <v>80</v>
      </c>
      <c r="C92" s="42"/>
      <c r="D92" s="42" t="b">
        <f t="shared" ref="D92:H92" si="182">VLOOKUP($A92, INDIRECT(D$1&amp;"!A:C"), 3, FALSE)</f>
        <v>0</v>
      </c>
      <c r="E92" s="42" t="b">
        <f t="shared" si="182"/>
        <v>0</v>
      </c>
      <c r="F92" s="42" t="str">
        <f t="shared" si="182"/>
        <v>TO DO</v>
      </c>
      <c r="G92" s="42" t="b">
        <f t="shared" si="182"/>
        <v>0</v>
      </c>
      <c r="H92" s="42" t="b">
        <f t="shared" si="182"/>
        <v>0</v>
      </c>
      <c r="I92" s="43">
        <f t="shared" si="4"/>
        <v>1</v>
      </c>
      <c r="J92" s="44" t="str">
        <f t="shared" ref="J92:N92" si="183">VLOOKUP($A92, INDIRECT(J$1&amp;"!A:D"), 4, FALSE)</f>
        <v>typo</v>
      </c>
      <c r="K92" s="44" t="str">
        <f t="shared" si="183"/>
        <v/>
      </c>
      <c r="L92" s="44" t="str">
        <f t="shared" si="183"/>
        <v/>
      </c>
      <c r="M92" s="44" t="str">
        <f t="shared" si="183"/>
        <v/>
      </c>
      <c r="N92" s="44" t="str">
        <f t="shared" si="183"/>
        <v/>
      </c>
      <c r="O92" s="43" t="str">
        <f>IFERROR(__xludf.DUMMYFUNCTION("IF(COUNTA(J92:N92)=0, """", ARRAYFORMULA(""- ""&amp;TEXTJOIN(char(10)&amp;""- "", TRUE, FILTER(J$1:N$1&amp;"": ""&amp;J92:N92, NOT(ISBLANK(J92:N92))))))"),"- Finn: typo")</f>
        <v>- Finn: typo</v>
      </c>
      <c r="P92" s="43" t="s">
        <v>451</v>
      </c>
      <c r="Q92" s="45" t="b">
        <v>0</v>
      </c>
    </row>
    <row r="93">
      <c r="A93" s="12" t="s">
        <v>227</v>
      </c>
      <c r="B93" s="12" t="s">
        <v>228</v>
      </c>
      <c r="C93" s="7"/>
      <c r="D93" s="42" t="b">
        <f t="shared" ref="D93:H93" si="184">VLOOKUP($A93, INDIRECT(D$1&amp;"!A:C"), 3, FALSE)</f>
        <v>1</v>
      </c>
      <c r="E93" s="42" t="str">
        <f t="shared" si="184"/>
        <v>TO DO</v>
      </c>
      <c r="F93" s="42" t="str">
        <f t="shared" si="184"/>
        <v>TO DO</v>
      </c>
      <c r="G93" s="42" t="b">
        <f t="shared" si="184"/>
        <v>1</v>
      </c>
      <c r="H93" s="42" t="b">
        <f t="shared" si="184"/>
        <v>1</v>
      </c>
      <c r="I93" s="43">
        <f t="shared" si="4"/>
        <v>1</v>
      </c>
      <c r="J93" s="44" t="str">
        <f t="shared" ref="J93:N93" si="185">VLOOKUP($A93, INDIRECT(J$1&amp;"!A:D"), 4, FALSE)</f>
        <v/>
      </c>
      <c r="K93" s="44" t="str">
        <f t="shared" si="185"/>
        <v/>
      </c>
      <c r="L93" s="44" t="str">
        <f t="shared" si="185"/>
        <v/>
      </c>
      <c r="M93" s="44" t="str">
        <f t="shared" si="185"/>
        <v/>
      </c>
      <c r="N93" s="44" t="str">
        <f t="shared" si="185"/>
        <v>sanitation, hygiene for all</v>
      </c>
      <c r="O93" s="43" t="str">
        <f>IFERROR(__xludf.DUMMYFUNCTION("IF(COUNTA(J93:N93)=0, """", ARRAYFORMULA(""- ""&amp;TEXTJOIN(char(10)&amp;""- "", TRUE, FILTER(J$1:N$1&amp;"": ""&amp;J93:N93, NOT(ISBLANK(J93:N93))))))"),"- Steve: sanitation, hygiene for all")</f>
        <v>- Steve: sanitation, hygiene for all</v>
      </c>
      <c r="P93" s="43" t="s">
        <v>466</v>
      </c>
      <c r="Q93" s="45" t="b">
        <v>1</v>
      </c>
    </row>
    <row r="94">
      <c r="A94" s="12" t="s">
        <v>117</v>
      </c>
      <c r="B94" s="12" t="s">
        <v>118</v>
      </c>
      <c r="C94" s="42"/>
      <c r="D94" s="42" t="b">
        <f t="shared" ref="D94:H94" si="186">VLOOKUP($A94, INDIRECT(D$1&amp;"!A:C"), 3, FALSE)</f>
        <v>0</v>
      </c>
      <c r="E94" s="42" t="b">
        <f t="shared" si="186"/>
        <v>0</v>
      </c>
      <c r="F94" s="42" t="str">
        <f t="shared" si="186"/>
        <v>TO DO</v>
      </c>
      <c r="G94" s="42" t="b">
        <f t="shared" si="186"/>
        <v>0</v>
      </c>
      <c r="H94" s="42" t="b">
        <f t="shared" si="186"/>
        <v>0</v>
      </c>
      <c r="I94" s="43">
        <f t="shared" si="4"/>
        <v>1</v>
      </c>
      <c r="J94" s="44" t="str">
        <f t="shared" ref="J94:N94" si="187">VLOOKUP($A94, INDIRECT(J$1&amp;"!A:D"), 4, FALSE)</f>
        <v/>
      </c>
      <c r="K94" s="44" t="str">
        <f t="shared" si="187"/>
        <v/>
      </c>
      <c r="L94" s="44" t="str">
        <f t="shared" si="187"/>
        <v/>
      </c>
      <c r="M94" s="44" t="str">
        <f t="shared" si="187"/>
        <v/>
      </c>
      <c r="N94" s="44" t="str">
        <f t="shared" si="187"/>
        <v/>
      </c>
      <c r="O94" s="43" t="str">
        <f>IFERROR(__xludf.DUMMYFUNCTION("IF(COUNTA(J94:N94)=0, """", ARRAYFORMULA(""- ""&amp;TEXTJOIN(char(10)&amp;""- "", TRUE, FILTER(J$1:N$1&amp;"": ""&amp;J94:N94, NOT(ISBLANK(J94:N94))))))"),"")</f>
        <v/>
      </c>
      <c r="P94" s="43" t="s">
        <v>425</v>
      </c>
      <c r="Q94" s="45" t="b">
        <v>0</v>
      </c>
    </row>
    <row r="95">
      <c r="A95" s="12" t="s">
        <v>233</v>
      </c>
      <c r="B95" s="12" t="s">
        <v>234</v>
      </c>
      <c r="C95" s="7"/>
      <c r="D95" s="42" t="b">
        <f t="shared" ref="D95:H95" si="188">VLOOKUP($A95, INDIRECT(D$1&amp;"!A:C"), 3, FALSE)</f>
        <v>0</v>
      </c>
      <c r="E95" s="42" t="b">
        <f t="shared" si="188"/>
        <v>0</v>
      </c>
      <c r="F95" s="42" t="str">
        <f t="shared" si="188"/>
        <v>TO DO</v>
      </c>
      <c r="G95" s="42" t="b">
        <f t="shared" si="188"/>
        <v>0</v>
      </c>
      <c r="H95" s="42" t="b">
        <f t="shared" si="188"/>
        <v>0</v>
      </c>
      <c r="I95" s="43">
        <f t="shared" si="4"/>
        <v>1</v>
      </c>
      <c r="J95" s="44" t="str">
        <f t="shared" ref="J95:N95" si="189">VLOOKUP($A95, INDIRECT(J$1&amp;"!A:D"), 4, FALSE)</f>
        <v/>
      </c>
      <c r="K95" s="44" t="str">
        <f t="shared" si="189"/>
        <v/>
      </c>
      <c r="L95" s="44" t="str">
        <f t="shared" si="189"/>
        <v/>
      </c>
      <c r="M95" s="44" t="str">
        <f t="shared" si="189"/>
        <v/>
      </c>
      <c r="N95" s="44" t="str">
        <f t="shared" si="189"/>
        <v/>
      </c>
      <c r="O95" s="43" t="str">
        <f>IFERROR(__xludf.DUMMYFUNCTION("IF(COUNTA(J95:N95)=0, """", ARRAYFORMULA(""- ""&amp;TEXTJOIN(char(10)&amp;""- "", TRUE, FILTER(J$1:N$1&amp;"": ""&amp;J95:N95, NOT(ISBLANK(J95:N95))))))"),"")</f>
        <v/>
      </c>
      <c r="P95" s="43" t="s">
        <v>425</v>
      </c>
      <c r="Q95" s="45" t="b">
        <v>0</v>
      </c>
    </row>
    <row r="96">
      <c r="A96" s="12" t="s">
        <v>186</v>
      </c>
      <c r="B96" s="12" t="s">
        <v>187</v>
      </c>
      <c r="C96" s="47"/>
      <c r="D96" s="42" t="b">
        <f t="shared" ref="D96:H96" si="190">VLOOKUP($A96, INDIRECT(D$1&amp;"!A:C"), 3, FALSE)</f>
        <v>0</v>
      </c>
      <c r="E96" s="42" t="str">
        <f t="shared" si="190"/>
        <v>TO DO</v>
      </c>
      <c r="F96" s="42" t="str">
        <f t="shared" si="190"/>
        <v>TO DO</v>
      </c>
      <c r="G96" s="42" t="b">
        <f t="shared" si="190"/>
        <v>0</v>
      </c>
      <c r="H96" s="42" t="b">
        <f t="shared" si="190"/>
        <v>0</v>
      </c>
      <c r="I96" s="43">
        <f t="shared" si="4"/>
        <v>1</v>
      </c>
      <c r="J96" s="44" t="str">
        <f t="shared" ref="J96:N96" si="191">VLOOKUP($A96, INDIRECT(J$1&amp;"!A:D"), 4, FALSE)</f>
        <v/>
      </c>
      <c r="K96" s="44" t="str">
        <f t="shared" si="191"/>
        <v/>
      </c>
      <c r="L96" s="44" t="str">
        <f t="shared" si="191"/>
        <v/>
      </c>
      <c r="M96" s="44" t="str">
        <f t="shared" si="191"/>
        <v/>
      </c>
      <c r="N96" s="44" t="str">
        <f t="shared" si="191"/>
        <v>blue economy relates more to SDG 14</v>
      </c>
      <c r="O96" s="43" t="str">
        <f>IFERROR(__xludf.DUMMYFUNCTION("IF(COUNTA(J96:N96)=0, """", ARRAYFORMULA(""- ""&amp;TEXTJOIN(char(10)&amp;""- "", TRUE, FILTER(J$1:N$1&amp;"": ""&amp;J96:N96, NOT(ISBLANK(J96:N96))))))"),"- Steve: blue economy relates more to SDG 14")</f>
        <v>- Steve: blue economy relates more to SDG 14</v>
      </c>
      <c r="P96" s="43" t="s">
        <v>467</v>
      </c>
      <c r="Q96" s="45" t="b">
        <v>0</v>
      </c>
    </row>
    <row r="97">
      <c r="A97" s="12" t="s">
        <v>223</v>
      </c>
      <c r="B97" s="12" t="s">
        <v>224</v>
      </c>
      <c r="C97" s="46"/>
      <c r="D97" s="42" t="b">
        <f t="shared" ref="D97:H97" si="192">VLOOKUP($A97, INDIRECT(D$1&amp;"!A:C"), 3, FALSE)</f>
        <v>0</v>
      </c>
      <c r="E97" s="42" t="b">
        <f t="shared" si="192"/>
        <v>0</v>
      </c>
      <c r="F97" s="42" t="str">
        <f t="shared" si="192"/>
        <v>TO DO</v>
      </c>
      <c r="G97" s="42" t="b">
        <f t="shared" si="192"/>
        <v>0</v>
      </c>
      <c r="H97" s="42" t="b">
        <f t="shared" si="192"/>
        <v>0</v>
      </c>
      <c r="I97" s="43">
        <f t="shared" si="4"/>
        <v>1</v>
      </c>
      <c r="J97" s="44" t="str">
        <f t="shared" ref="J97:N97" si="193">VLOOKUP($A97, INDIRECT(J$1&amp;"!A:D"), 4, FALSE)</f>
        <v/>
      </c>
      <c r="K97" s="44" t="str">
        <f t="shared" si="193"/>
        <v>Not specific on water</v>
      </c>
      <c r="L97" s="44" t="str">
        <f t="shared" si="193"/>
        <v/>
      </c>
      <c r="M97" s="44" t="str">
        <f t="shared" si="193"/>
        <v/>
      </c>
      <c r="N97" s="44" t="str">
        <f t="shared" si="193"/>
        <v/>
      </c>
      <c r="O97" s="43" t="str">
        <f>IFERROR(__xludf.DUMMYFUNCTION("IF(COUNTA(J97:N97)=0, """", ARRAYFORMULA(""- ""&amp;TEXTJOIN(char(10)&amp;""- "", TRUE, FILTER(J$1:N$1&amp;"": ""&amp;J97:N97, NOT(ISBLANK(J97:N97))))))"),"- Gib: Not specific on water")</f>
        <v>- Gib: Not specific on water</v>
      </c>
      <c r="P97" s="43" t="s">
        <v>468</v>
      </c>
      <c r="Q97" s="45" t="b">
        <v>0</v>
      </c>
    </row>
    <row r="98">
      <c r="A98" s="12" t="s">
        <v>213</v>
      </c>
      <c r="B98" s="12" t="s">
        <v>214</v>
      </c>
      <c r="C98" s="47" t="s">
        <v>422</v>
      </c>
      <c r="D98" s="42" t="b">
        <f t="shared" ref="D98:H98" si="194">VLOOKUP($A98, INDIRECT(D$1&amp;"!A:C"), 3, FALSE)</f>
        <v>0</v>
      </c>
      <c r="E98" s="42" t="b">
        <f t="shared" si="194"/>
        <v>0</v>
      </c>
      <c r="F98" s="42" t="str">
        <f t="shared" si="194"/>
        <v>TO DO</v>
      </c>
      <c r="G98" s="42" t="b">
        <f t="shared" si="194"/>
        <v>0</v>
      </c>
      <c r="H98" s="42" t="b">
        <f t="shared" si="194"/>
        <v>1</v>
      </c>
      <c r="I98" s="43">
        <f t="shared" si="4"/>
        <v>0.5</v>
      </c>
      <c r="J98" s="44" t="str">
        <f t="shared" ref="J98:N98" si="195">VLOOKUP($A98, INDIRECT(J$1&amp;"!A:D"), 4, FALSE)</f>
        <v/>
      </c>
      <c r="K98" s="44" t="str">
        <f t="shared" si="195"/>
        <v/>
      </c>
      <c r="L98" s="44" t="str">
        <f t="shared" si="195"/>
        <v/>
      </c>
      <c r="M98" s="44" t="str">
        <f t="shared" si="195"/>
        <v/>
      </c>
      <c r="N98" s="44" t="str">
        <f t="shared" si="195"/>
        <v/>
      </c>
      <c r="O98" s="43" t="str">
        <f>IFERROR(__xludf.DUMMYFUNCTION("IF(COUNTA(J98:N98)=0, """", ARRAYFORMULA(""- ""&amp;TEXTJOIN(char(10)&amp;""- "", TRUE, FILTER(J$1:N$1&amp;"": ""&amp;J98:N98, NOT(ISBLANK(J98:N98))))))"),"")</f>
        <v/>
      </c>
      <c r="P98" s="43" t="s">
        <v>425</v>
      </c>
      <c r="Q98" s="45" t="s">
        <v>342</v>
      </c>
    </row>
    <row r="99">
      <c r="A99" s="12" t="s">
        <v>229</v>
      </c>
      <c r="B99" s="12" t="s">
        <v>230</v>
      </c>
      <c r="C99" s="46"/>
      <c r="D99" s="42" t="b">
        <f t="shared" ref="D99:H99" si="196">VLOOKUP($A99, INDIRECT(D$1&amp;"!A:C"), 3, FALSE)</f>
        <v>0</v>
      </c>
      <c r="E99" s="42" t="b">
        <f t="shared" si="196"/>
        <v>0</v>
      </c>
      <c r="F99" s="42" t="str">
        <f t="shared" si="196"/>
        <v>TO DO</v>
      </c>
      <c r="G99" s="42" t="b">
        <f t="shared" si="196"/>
        <v>0</v>
      </c>
      <c r="H99" s="42" t="b">
        <f t="shared" si="196"/>
        <v>0</v>
      </c>
      <c r="I99" s="43">
        <f t="shared" si="4"/>
        <v>1</v>
      </c>
      <c r="J99" s="44" t="str">
        <f t="shared" ref="J99:N99" si="197">VLOOKUP($A99, INDIRECT(J$1&amp;"!A:D"), 4, FALSE)</f>
        <v/>
      </c>
      <c r="K99" s="44" t="str">
        <f t="shared" si="197"/>
        <v>not specific to water</v>
      </c>
      <c r="L99" s="44" t="str">
        <f t="shared" si="197"/>
        <v/>
      </c>
      <c r="M99" s="44" t="str">
        <f t="shared" si="197"/>
        <v/>
      </c>
      <c r="N99" s="44" t="str">
        <f t="shared" si="197"/>
        <v/>
      </c>
      <c r="O99" s="43" t="str">
        <f>IFERROR(__xludf.DUMMYFUNCTION("IF(COUNTA(J99:N99)=0, """", ARRAYFORMULA(""- ""&amp;TEXTJOIN(char(10)&amp;""- "", TRUE, FILTER(J$1:N$1&amp;"": ""&amp;J99:N99, NOT(ISBLANK(J99:N99))))))"),"- Gib: not specific to water")</f>
        <v>- Gib: not specific to water</v>
      </c>
      <c r="P99" s="43" t="s">
        <v>469</v>
      </c>
      <c r="Q99" s="45" t="b">
        <v>0</v>
      </c>
    </row>
    <row r="100">
      <c r="A100" s="12" t="s">
        <v>136</v>
      </c>
      <c r="B100" s="12" t="s">
        <v>137</v>
      </c>
      <c r="C100" s="7"/>
      <c r="D100" s="42" t="b">
        <f t="shared" ref="D100:H100" si="198">VLOOKUP($A100, INDIRECT(D$1&amp;"!A:C"), 3, FALSE)</f>
        <v>0</v>
      </c>
      <c r="E100" s="42" t="str">
        <f t="shared" si="198"/>
        <v>TO DO</v>
      </c>
      <c r="F100" s="42" t="str">
        <f t="shared" si="198"/>
        <v>TO DO</v>
      </c>
      <c r="G100" s="42" t="b">
        <f t="shared" si="198"/>
        <v>0</v>
      </c>
      <c r="H100" s="42" t="b">
        <f t="shared" si="198"/>
        <v>0</v>
      </c>
      <c r="I100" s="43">
        <f t="shared" si="4"/>
        <v>1</v>
      </c>
      <c r="J100" s="44" t="str">
        <f t="shared" ref="J100:N100" si="199">VLOOKUP($A100, INDIRECT(J$1&amp;"!A:D"), 4, FALSE)</f>
        <v/>
      </c>
      <c r="K100" s="44" t="str">
        <f t="shared" si="199"/>
        <v/>
      </c>
      <c r="L100" s="44" t="str">
        <f t="shared" si="199"/>
        <v/>
      </c>
      <c r="M100" s="44" t="str">
        <f t="shared" si="199"/>
        <v/>
      </c>
      <c r="N100" s="44" t="str">
        <f t="shared" si="199"/>
        <v/>
      </c>
      <c r="O100" s="43" t="str">
        <f>IFERROR(__xludf.DUMMYFUNCTION("IF(COUNTA(J100:N100)=0, """", ARRAYFORMULA(""- ""&amp;TEXTJOIN(char(10)&amp;""- "", TRUE, FILTER(J$1:N$1&amp;"": ""&amp;J100:N100, NOT(ISBLANK(J100:N100))))))"),"")</f>
        <v/>
      </c>
      <c r="P100" s="43" t="s">
        <v>425</v>
      </c>
      <c r="Q100" s="45" t="b">
        <v>0</v>
      </c>
    </row>
    <row r="101">
      <c r="A101" s="12" t="s">
        <v>85</v>
      </c>
      <c r="B101" s="12" t="s">
        <v>86</v>
      </c>
      <c r="C101" s="47"/>
      <c r="D101" s="42" t="b">
        <f t="shared" ref="D101:H101" si="200">VLOOKUP($A101, INDIRECT(D$1&amp;"!A:C"), 3, FALSE)</f>
        <v>0</v>
      </c>
      <c r="E101" s="42" t="str">
        <f t="shared" si="200"/>
        <v>TO DO</v>
      </c>
      <c r="F101" s="42" t="str">
        <f t="shared" si="200"/>
        <v>TO DO</v>
      </c>
      <c r="G101" s="42" t="b">
        <f t="shared" si="200"/>
        <v>0</v>
      </c>
      <c r="H101" s="42" t="b">
        <f t="shared" si="200"/>
        <v>0</v>
      </c>
      <c r="I101" s="43">
        <f t="shared" si="4"/>
        <v>1</v>
      </c>
      <c r="J101" s="44" t="str">
        <f t="shared" ref="J101:N101" si="201">VLOOKUP($A101, INDIRECT(J$1&amp;"!A:D"), 4, FALSE)</f>
        <v/>
      </c>
      <c r="K101" s="44" t="str">
        <f t="shared" si="201"/>
        <v/>
      </c>
      <c r="L101" s="44" t="str">
        <f t="shared" si="201"/>
        <v/>
      </c>
      <c r="M101" s="44" t="str">
        <f t="shared" si="201"/>
        <v/>
      </c>
      <c r="N101" s="44" t="str">
        <f t="shared" si="201"/>
        <v/>
      </c>
      <c r="O101" s="43" t="str">
        <f>IFERROR(__xludf.DUMMYFUNCTION("IF(COUNTA(J101:N101)=0, """", ARRAYFORMULA(""- ""&amp;TEXTJOIN(char(10)&amp;""- "", TRUE, FILTER(J$1:N$1&amp;"": ""&amp;J101:N101, NOT(ISBLANK(J101:N101))))))"),"")</f>
        <v/>
      </c>
      <c r="P101" s="43" t="s">
        <v>425</v>
      </c>
      <c r="Q101" s="45" t="b">
        <v>0</v>
      </c>
    </row>
  </sheetData>
  <autoFilter ref="$A$1:$S$101"/>
  <conditionalFormatting sqref="C2:P101">
    <cfRule type="cellIs" dxfId="0" priority="1" operator="equal">
      <formula>"TRUE"</formula>
    </cfRule>
  </conditionalFormatting>
  <conditionalFormatting sqref="C2:P101">
    <cfRule type="beginsWith" dxfId="1" priority="2" operator="beginsWith" text="FALSE">
      <formula>LEFT((C2),LEN("FALSE"))=("FALSE")</formula>
    </cfRule>
  </conditionalFormatting>
  <conditionalFormatting sqref="C2:P101">
    <cfRule type="cellIs" dxfId="2" priority="3" operator="equal">
      <formula>"TO DO"</formula>
    </cfRule>
  </conditionalFormatting>
  <conditionalFormatting sqref="C2:P101">
    <cfRule type="cellIs" dxfId="3" priority="4" operator="equal">
      <formula>"SKIP"</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5" max="5" width="15.0"/>
    <col customWidth="1" min="6" max="6" width="26.38"/>
  </cols>
  <sheetData>
    <row r="1">
      <c r="A1" s="18" t="s">
        <v>470</v>
      </c>
      <c r="B1" s="18" t="s">
        <v>321</v>
      </c>
      <c r="C1" s="18" t="s">
        <v>322</v>
      </c>
      <c r="D1" s="18" t="s">
        <v>327</v>
      </c>
      <c r="E1" s="18" t="s">
        <v>471</v>
      </c>
      <c r="F1" s="18" t="s">
        <v>319</v>
      </c>
      <c r="G1" s="18" t="s">
        <v>472</v>
      </c>
    </row>
    <row r="2">
      <c r="A2" s="19" t="str">
        <f t="shared" ref="A2:A86" si="1">LEFT(MD5(B2), 7)</f>
        <v>#NAME?</v>
      </c>
      <c r="B2" s="12" t="s">
        <v>164</v>
      </c>
      <c r="C2" s="5">
        <v>6.0</v>
      </c>
      <c r="D2" s="5" t="b">
        <v>0</v>
      </c>
      <c r="E2" s="12" t="s">
        <v>163</v>
      </c>
      <c r="F2" s="19" t="str">
        <f t="array" ref="F2">VLOOKUP(E2,{Source!B:B,Source!A:A},2,FALSE)</f>
        <v>10.6027/26908ff6-en</v>
      </c>
    </row>
    <row r="3">
      <c r="A3" s="19" t="str">
        <f t="shared" si="1"/>
        <v>#NAME?</v>
      </c>
      <c r="B3" s="12" t="s">
        <v>153</v>
      </c>
      <c r="C3" s="5">
        <v>6.0</v>
      </c>
      <c r="D3" s="5" t="b">
        <v>1</v>
      </c>
      <c r="E3" s="12" t="s">
        <v>152</v>
      </c>
      <c r="F3" s="19" t="str">
        <f t="array" ref="F3">VLOOKUP(E3,{Source!B:B,Source!A:A},2,FALSE)</f>
        <v>10.18356/35651950-en</v>
      </c>
      <c r="G3" s="5" t="s">
        <v>424</v>
      </c>
    </row>
    <row r="4">
      <c r="A4" s="19" t="str">
        <f t="shared" si="1"/>
        <v>#NAME?</v>
      </c>
      <c r="B4" s="48" t="s">
        <v>473</v>
      </c>
      <c r="C4" s="5">
        <v>6.0</v>
      </c>
      <c r="D4" s="5" t="b">
        <v>0</v>
      </c>
      <c r="E4" s="12" t="s">
        <v>271</v>
      </c>
      <c r="F4" s="19" t="str">
        <f t="array" ref="F4">VLOOKUP(E4,{Source!B:B,Source!A:A},2,FALSE)</f>
        <v>10.18356/09f3c767-en</v>
      </c>
      <c r="G4" s="5" t="s">
        <v>474</v>
      </c>
    </row>
    <row r="5">
      <c r="A5" s="19" t="str">
        <f t="shared" si="1"/>
        <v>#NAME?</v>
      </c>
      <c r="B5" s="12" t="s">
        <v>256</v>
      </c>
      <c r="C5" s="5">
        <v>6.0</v>
      </c>
      <c r="D5" s="5" t="b">
        <v>1</v>
      </c>
      <c r="E5" s="12" t="s">
        <v>255</v>
      </c>
      <c r="F5" s="19" t="str">
        <f t="array" ref="F5">VLOOKUP(E5,{Source!B:B,Source!A:A},2,FALSE)</f>
        <v>10.1787/9789264179820-4-en</v>
      </c>
      <c r="G5" s="5" t="s">
        <v>427</v>
      </c>
    </row>
    <row r="6">
      <c r="A6" s="19" t="str">
        <f t="shared" si="1"/>
        <v>#NAME?</v>
      </c>
      <c r="B6" s="12" t="s">
        <v>75</v>
      </c>
      <c r="C6" s="5">
        <v>6.0</v>
      </c>
      <c r="D6" s="5" t="b">
        <v>1</v>
      </c>
      <c r="E6" s="12" t="s">
        <v>74</v>
      </c>
      <c r="F6" s="19" t="str">
        <f t="array" ref="F6">VLOOKUP(E6,{Source!B:B,Source!A:A},2,FALSE)</f>
        <v>10.1787/9789264119284-6-en</v>
      </c>
      <c r="G6" s="5" t="s">
        <v>432</v>
      </c>
    </row>
    <row r="7">
      <c r="A7" s="19" t="str">
        <f t="shared" si="1"/>
        <v>#NAME?</v>
      </c>
      <c r="B7" s="12" t="s">
        <v>199</v>
      </c>
      <c r="C7" s="5">
        <v>6.0</v>
      </c>
      <c r="D7" s="5" t="b">
        <v>1</v>
      </c>
      <c r="E7" s="12" t="s">
        <v>198</v>
      </c>
      <c r="F7" s="19" t="str">
        <f t="array" ref="F7">VLOOKUP(E7,{Source!B:B,Source!A:A},2,FALSE)</f>
        <v>10.18356/08e82310-en</v>
      </c>
      <c r="G7" s="5" t="s">
        <v>434</v>
      </c>
    </row>
    <row r="8">
      <c r="A8" s="19" t="str">
        <f t="shared" si="1"/>
        <v>#NAME?</v>
      </c>
      <c r="B8" s="12" t="s">
        <v>218</v>
      </c>
      <c r="C8" s="5">
        <v>6.0</v>
      </c>
      <c r="D8" s="5" t="b">
        <v>1</v>
      </c>
      <c r="E8" s="12" t="s">
        <v>217</v>
      </c>
      <c r="F8" s="19" t="str">
        <f t="array" ref="F8">VLOOKUP(E8,{Source!B:B,Source!A:A},2,FALSE)</f>
        <v>10.1787/9789264238701-7-en</v>
      </c>
    </row>
    <row r="9">
      <c r="A9" s="19" t="str">
        <f t="shared" si="1"/>
        <v>#NAME?</v>
      </c>
      <c r="B9" s="48" t="s">
        <v>475</v>
      </c>
      <c r="C9" s="5">
        <v>6.0</v>
      </c>
      <c r="D9" s="5" t="b">
        <v>1</v>
      </c>
      <c r="E9" s="12" t="s">
        <v>101</v>
      </c>
      <c r="F9" s="19" t="str">
        <f t="array" ref="F9">VLOOKUP(E9,{Source!B:B,Source!A:A},2,FALSE)</f>
        <v>10.18356/22758cf4-en</v>
      </c>
      <c r="G9" s="5" t="s">
        <v>476</v>
      </c>
    </row>
    <row r="10">
      <c r="A10" s="19" t="str">
        <f t="shared" si="1"/>
        <v>#NAME?</v>
      </c>
      <c r="B10" s="12" t="s">
        <v>162</v>
      </c>
      <c r="C10" s="5">
        <v>6.0</v>
      </c>
      <c r="D10" s="5" t="b">
        <v>1</v>
      </c>
      <c r="E10" s="12" t="s">
        <v>161</v>
      </c>
      <c r="F10" s="19" t="str">
        <f t="array" ref="F10">VLOOKUP(E10,{Source!B:B,Source!A:A},2,FALSE)</f>
        <v>10.1787/9789264279551-6-en</v>
      </c>
    </row>
    <row r="11">
      <c r="A11" s="19" t="str">
        <f t="shared" si="1"/>
        <v>#NAME?</v>
      </c>
      <c r="B11" s="12" t="s">
        <v>250</v>
      </c>
      <c r="C11" s="5">
        <v>6.0</v>
      </c>
      <c r="D11" s="5" t="b">
        <v>0</v>
      </c>
      <c r="E11" s="12" t="s">
        <v>249</v>
      </c>
      <c r="F11" s="19" t="str">
        <f t="array" ref="F11">VLOOKUP(E11,{Source!B:B,Source!A:A},2,FALSE)</f>
        <v>10.1787/9789264077287-en</v>
      </c>
    </row>
    <row r="12">
      <c r="A12" s="19" t="str">
        <f t="shared" si="1"/>
        <v>#NAME?</v>
      </c>
      <c r="B12" s="12" t="s">
        <v>133</v>
      </c>
      <c r="C12" s="5">
        <v>6.0</v>
      </c>
      <c r="D12" s="5" t="b">
        <v>1</v>
      </c>
      <c r="E12" s="12" t="s">
        <v>132</v>
      </c>
      <c r="F12" s="19" t="str">
        <f t="array" ref="F12">VLOOKUP(E12,{Source!B:B,Source!A:A},2,FALSE)</f>
        <v>10.1787/5jlssl611r32-en</v>
      </c>
    </row>
    <row r="13">
      <c r="A13" s="19" t="str">
        <f t="shared" si="1"/>
        <v>#NAME?</v>
      </c>
      <c r="B13" s="12" t="s">
        <v>180</v>
      </c>
      <c r="C13" s="5">
        <v>6.0</v>
      </c>
      <c r="D13" s="5" t="b">
        <v>1</v>
      </c>
      <c r="E13" s="12" t="s">
        <v>179</v>
      </c>
      <c r="F13" s="19" t="str">
        <f t="array" ref="F13">VLOOKUP(E13,{Source!B:B,Source!A:A},2,FALSE)</f>
        <v>10.1787/9789264186378-8-en</v>
      </c>
    </row>
    <row r="14">
      <c r="A14" s="19" t="str">
        <f t="shared" si="1"/>
        <v>#NAME?</v>
      </c>
      <c r="B14" s="12" t="s">
        <v>264</v>
      </c>
      <c r="C14" s="5">
        <v>6.0</v>
      </c>
      <c r="D14" s="5" t="b">
        <v>1</v>
      </c>
      <c r="E14" s="12" t="s">
        <v>263</v>
      </c>
      <c r="F14" s="19" t="str">
        <f t="array" ref="F14">VLOOKUP(E14,{Source!B:B,Source!A:A},2,FALSE)</f>
        <v>10.18356/f47faf05-en</v>
      </c>
    </row>
    <row r="15">
      <c r="A15" s="19" t="str">
        <f t="shared" si="1"/>
        <v>#NAME?</v>
      </c>
      <c r="B15" s="12" t="s">
        <v>208</v>
      </c>
      <c r="C15" s="5">
        <v>6.0</v>
      </c>
      <c r="D15" s="5" t="b">
        <v>0</v>
      </c>
      <c r="E15" s="12" t="s">
        <v>207</v>
      </c>
      <c r="F15" s="19" t="str">
        <f t="array" ref="F15">VLOOKUP(E15,{Source!B:B,Source!A:A},2,FALSE)</f>
        <v>10.1787/9789264083660-7-en</v>
      </c>
    </row>
    <row r="16">
      <c r="A16" s="19" t="str">
        <f t="shared" si="1"/>
        <v>#NAME?</v>
      </c>
      <c r="B16" s="12" t="s">
        <v>143</v>
      </c>
      <c r="C16" s="5">
        <v>6.0</v>
      </c>
      <c r="D16" s="5" t="b">
        <v>1</v>
      </c>
      <c r="E16" s="12" t="s">
        <v>142</v>
      </c>
      <c r="F16" s="19" t="str">
        <f t="array" ref="F16">VLOOKUP(E16,{Source!B:B,Source!A:A},2,FALSE)</f>
        <v>10.1787/9789264168060-5-en</v>
      </c>
    </row>
    <row r="17">
      <c r="A17" s="19" t="str">
        <f t="shared" si="1"/>
        <v>#NAME?</v>
      </c>
      <c r="B17" s="12" t="s">
        <v>266</v>
      </c>
      <c r="C17" s="5">
        <v>6.0</v>
      </c>
      <c r="D17" s="5" t="b">
        <v>1</v>
      </c>
      <c r="E17" s="12" t="s">
        <v>265</v>
      </c>
      <c r="F17" s="19" t="str">
        <f t="array" ref="F17">VLOOKUP(E17,{Source!B:B,Source!A:A},2,FALSE)</f>
        <v>10.1787/9789264083523-4-en</v>
      </c>
      <c r="G17" s="5" t="s">
        <v>439</v>
      </c>
    </row>
    <row r="18">
      <c r="A18" s="19" t="str">
        <f t="shared" si="1"/>
        <v>#NAME?</v>
      </c>
      <c r="B18" s="12" t="s">
        <v>222</v>
      </c>
      <c r="C18" s="5">
        <v>6.0</v>
      </c>
      <c r="D18" s="5" t="b">
        <v>0</v>
      </c>
      <c r="E18" s="12" t="s">
        <v>221</v>
      </c>
      <c r="F18" s="19" t="str">
        <f t="array" ref="F18">VLOOKUP(E18,{Source!B:B,Source!A:A},2,FALSE)</f>
        <v>10.1787/9789264077287-en</v>
      </c>
    </row>
    <row r="19">
      <c r="A19" s="19" t="str">
        <f t="shared" si="1"/>
        <v>#NAME?</v>
      </c>
      <c r="B19" s="12" t="s">
        <v>94</v>
      </c>
      <c r="C19" s="5">
        <v>6.0</v>
      </c>
      <c r="D19" s="5" t="b">
        <v>1</v>
      </c>
      <c r="E19" s="12" t="s">
        <v>93</v>
      </c>
      <c r="F19" s="19" t="str">
        <f t="array" ref="F19">VLOOKUP(E19,{Source!B:B,Source!A:A},2,FALSE)</f>
        <v>10.18356/fb332d66-en</v>
      </c>
    </row>
    <row r="20">
      <c r="A20" s="19" t="str">
        <f t="shared" si="1"/>
        <v>#NAME?</v>
      </c>
      <c r="B20" s="48" t="s">
        <v>477</v>
      </c>
      <c r="C20" s="5">
        <v>6.0</v>
      </c>
      <c r="D20" s="5" t="b">
        <v>1</v>
      </c>
      <c r="E20" s="12" t="s">
        <v>257</v>
      </c>
      <c r="F20" s="19" t="str">
        <f t="array" ref="F20">VLOOKUP(E20,{Source!B:B,Source!A:A},2,FALSE)</f>
        <v>10.18356/08e82310-en</v>
      </c>
      <c r="G20" s="5" t="s">
        <v>474</v>
      </c>
    </row>
    <row r="21">
      <c r="A21" s="19" t="str">
        <f t="shared" si="1"/>
        <v>#NAME?</v>
      </c>
      <c r="B21" s="12" t="s">
        <v>139</v>
      </c>
      <c r="C21" s="5">
        <v>6.0</v>
      </c>
      <c r="D21" s="5" t="b">
        <v>0</v>
      </c>
      <c r="E21" s="12" t="s">
        <v>138</v>
      </c>
      <c r="F21" s="19" t="str">
        <f t="array" ref="F21">VLOOKUP(E21,{Source!B:B,Source!A:A},2,FALSE)</f>
        <v>10.1787/eco/surveys-chn-2013-5-en</v>
      </c>
    </row>
    <row r="22">
      <c r="A22" s="19" t="str">
        <f t="shared" si="1"/>
        <v>#NAME?</v>
      </c>
      <c r="B22" s="12" t="s">
        <v>254</v>
      </c>
      <c r="C22" s="5">
        <v>6.0</v>
      </c>
      <c r="D22" s="5" t="b">
        <v>0</v>
      </c>
      <c r="E22" s="12" t="s">
        <v>253</v>
      </c>
      <c r="F22" s="19" t="str">
        <f t="array" ref="F22">VLOOKUP(E22,{Source!B:B,Source!A:A},2,FALSE)</f>
        <v>10.18356/09f3c767-en</v>
      </c>
    </row>
    <row r="23">
      <c r="A23" s="19" t="str">
        <f t="shared" si="1"/>
        <v>#NAME?</v>
      </c>
      <c r="B23" s="48" t="s">
        <v>478</v>
      </c>
      <c r="C23" s="5">
        <v>6.0</v>
      </c>
      <c r="D23" s="5" t="b">
        <v>1</v>
      </c>
      <c r="E23" s="12" t="s">
        <v>239</v>
      </c>
      <c r="F23" s="19" t="str">
        <f t="array" ref="F23">VLOOKUP(E23,{Source!B:B,Source!A:A},2,FALSE)</f>
        <v>10.1787/9789264281776-4-en</v>
      </c>
      <c r="G23" s="5" t="s">
        <v>479</v>
      </c>
    </row>
    <row r="24">
      <c r="A24" s="19" t="str">
        <f t="shared" si="1"/>
        <v>#NAME?</v>
      </c>
      <c r="B24" s="12" t="s">
        <v>197</v>
      </c>
      <c r="C24" s="5">
        <v>6.0</v>
      </c>
      <c r="D24" s="5" t="b">
        <v>1</v>
      </c>
      <c r="E24" s="12" t="s">
        <v>196</v>
      </c>
      <c r="F24" s="19" t="str">
        <f t="array" ref="F24">VLOOKUP(E24,{Source!B:B,Source!A:A},2,FALSE)</f>
        <v>10.1787/9789264179820-6-en</v>
      </c>
    </row>
    <row r="25">
      <c r="A25" s="19" t="str">
        <f t="shared" si="1"/>
        <v>#NAME?</v>
      </c>
      <c r="B25" s="12" t="s">
        <v>90</v>
      </c>
      <c r="C25" s="5">
        <v>6.0</v>
      </c>
      <c r="D25" s="5" t="b">
        <v>0</v>
      </c>
      <c r="E25" s="12" t="s">
        <v>89</v>
      </c>
      <c r="F25" s="19" t="str">
        <f t="array" ref="F25">VLOOKUP(E25,{Source!B:B,Source!A:A},2,FALSE)</f>
        <v>10.18356/13616d1f-en</v>
      </c>
    </row>
    <row r="26">
      <c r="A26" s="19" t="str">
        <f t="shared" si="1"/>
        <v>#NAME?</v>
      </c>
      <c r="B26" s="12" t="s">
        <v>96</v>
      </c>
      <c r="C26" s="5">
        <v>6.0</v>
      </c>
      <c r="D26" s="5" t="b">
        <v>1</v>
      </c>
      <c r="E26" s="12" t="s">
        <v>95</v>
      </c>
      <c r="F26" s="19" t="str">
        <f t="array" ref="F26">VLOOKUP(E26,{Source!B:B,Source!A:A},2,FALSE)</f>
        <v>10.1787/9789264202405-9-en</v>
      </c>
    </row>
    <row r="27">
      <c r="A27" s="19" t="str">
        <f t="shared" si="1"/>
        <v>#NAME?</v>
      </c>
      <c r="B27" s="12" t="s">
        <v>98</v>
      </c>
      <c r="C27" s="5">
        <v>6.0</v>
      </c>
      <c r="D27" s="5" t="b">
        <v>0</v>
      </c>
      <c r="E27" s="12" t="s">
        <v>97</v>
      </c>
      <c r="F27" s="19" t="str">
        <f t="array" ref="F27">VLOOKUP(E27,{Source!B:B,Source!A:A},2,FALSE)</f>
        <v>10.1787/9789264202887-10-en</v>
      </c>
    </row>
    <row r="28">
      <c r="A28" s="19" t="str">
        <f t="shared" si="1"/>
        <v>#NAME?</v>
      </c>
      <c r="B28" s="12" t="s">
        <v>270</v>
      </c>
      <c r="C28" s="5">
        <v>6.0</v>
      </c>
      <c r="D28" s="5" t="b">
        <v>0</v>
      </c>
      <c r="E28" s="12" t="s">
        <v>269</v>
      </c>
      <c r="F28" s="19" t="str">
        <f t="array" ref="F28">VLOOKUP(E28,{Source!B:B,Source!A:A},2,FALSE)</f>
        <v>10.18356/2fa96d20-en</v>
      </c>
    </row>
    <row r="29">
      <c r="A29" s="19" t="str">
        <f t="shared" si="1"/>
        <v>#NAME?</v>
      </c>
      <c r="B29" s="12" t="s">
        <v>203</v>
      </c>
      <c r="C29" s="5">
        <v>6.0</v>
      </c>
      <c r="D29" s="5" t="b">
        <v>0</v>
      </c>
      <c r="E29" s="12" t="s">
        <v>202</v>
      </c>
      <c r="F29" s="19" t="str">
        <f t="array" ref="F29">VLOOKUP(E29,{Source!B:B,Source!A:A},2,FALSE)</f>
        <v>10.1787/9789264279551-5-en</v>
      </c>
    </row>
    <row r="30">
      <c r="A30" s="19" t="str">
        <f t="shared" si="1"/>
        <v>#NAME?</v>
      </c>
      <c r="B30" s="12" t="s">
        <v>100</v>
      </c>
      <c r="C30" s="5">
        <v>6.0</v>
      </c>
      <c r="D30" s="5" t="b">
        <v>1</v>
      </c>
      <c r="E30" s="12" t="s">
        <v>99</v>
      </c>
      <c r="F30" s="19" t="str">
        <f t="array" ref="F30">VLOOKUP(E30,{Source!B:B,Source!A:A},2,FALSE)</f>
        <v>10.1787/eco/surveys-esp-2010-7-en</v>
      </c>
    </row>
    <row r="31">
      <c r="A31" s="19" t="str">
        <f t="shared" si="1"/>
        <v>#NAME?</v>
      </c>
      <c r="B31" s="48" t="s">
        <v>480</v>
      </c>
      <c r="C31" s="5">
        <v>6.0</v>
      </c>
      <c r="D31" s="5" t="b">
        <v>1</v>
      </c>
      <c r="E31" s="12" t="s">
        <v>167</v>
      </c>
      <c r="F31" s="19" t="str">
        <f t="array" ref="F31">VLOOKUP(E31,{Source!B:B,Source!A:A},2,FALSE)</f>
        <v>10.1787/9789264102637-10-en</v>
      </c>
      <c r="G31" s="5" t="s">
        <v>474</v>
      </c>
    </row>
    <row r="32">
      <c r="A32" s="19" t="str">
        <f t="shared" si="1"/>
        <v>#NAME?</v>
      </c>
      <c r="B32" s="12" t="s">
        <v>73</v>
      </c>
      <c r="C32" s="5">
        <v>6.0</v>
      </c>
      <c r="D32" s="5" t="b">
        <v>0</v>
      </c>
      <c r="E32" s="12" t="s">
        <v>72</v>
      </c>
      <c r="F32" s="19" t="str">
        <f t="array" ref="F32">VLOOKUP(E32,{Source!B:B,Source!A:A},2,FALSE)</f>
        <v>10.18356/935513ee-en</v>
      </c>
    </row>
    <row r="33">
      <c r="A33" s="19" t="str">
        <f t="shared" si="1"/>
        <v>#NAME?</v>
      </c>
      <c r="B33" s="48" t="s">
        <v>481</v>
      </c>
      <c r="C33" s="5">
        <v>6.0</v>
      </c>
      <c r="D33" s="5" t="b">
        <v>1</v>
      </c>
      <c r="E33" s="12" t="s">
        <v>225</v>
      </c>
      <c r="F33" s="19" t="str">
        <f t="array" ref="F33">VLOOKUP(E33,{Source!B:B,Source!A:A},2,FALSE)</f>
        <v>10.18356/92a064e5-en</v>
      </c>
      <c r="G33" s="5" t="s">
        <v>482</v>
      </c>
    </row>
    <row r="34">
      <c r="A34" s="19" t="str">
        <f t="shared" si="1"/>
        <v>#NAME?</v>
      </c>
      <c r="B34" s="12" t="s">
        <v>135</v>
      </c>
      <c r="C34" s="5">
        <v>6.0</v>
      </c>
      <c r="D34" s="5" t="b">
        <v>0</v>
      </c>
      <c r="E34" s="12" t="s">
        <v>134</v>
      </c>
      <c r="F34" s="19" t="str">
        <f t="array" ref="F34">VLOOKUP(E34,{Source!B:B,Source!A:A},2,FALSE)</f>
        <v>10.1787/9789264077287-en</v>
      </c>
    </row>
    <row r="35">
      <c r="A35" s="19" t="str">
        <f t="shared" si="1"/>
        <v>#NAME?</v>
      </c>
      <c r="B35" s="12" t="s">
        <v>178</v>
      </c>
      <c r="C35" s="5">
        <v>6.0</v>
      </c>
      <c r="D35" s="5" t="b">
        <v>1</v>
      </c>
      <c r="E35" s="12" t="s">
        <v>177</v>
      </c>
      <c r="F35" s="19" t="str">
        <f t="array" ref="F35">VLOOKUP(E35,{Source!B:B,Source!A:A},2,FALSE)</f>
        <v>10.18356/b8db134e-en</v>
      </c>
    </row>
    <row r="36">
      <c r="A36" s="19" t="str">
        <f t="shared" si="1"/>
        <v>#NAME?</v>
      </c>
      <c r="B36" s="12" t="s">
        <v>191</v>
      </c>
      <c r="C36" s="5">
        <v>6.0</v>
      </c>
      <c r="D36" s="5" t="b">
        <v>0</v>
      </c>
      <c r="E36" s="12" t="s">
        <v>190</v>
      </c>
      <c r="F36" s="19" t="str">
        <f t="array" ref="F36">VLOOKUP(E36,{Source!B:B,Source!A:A},2,FALSE)</f>
        <v>10.1787/9789264213753-5-en</v>
      </c>
    </row>
    <row r="37">
      <c r="A37" s="19" t="str">
        <f t="shared" si="1"/>
        <v>#NAME?</v>
      </c>
      <c r="B37" s="48" t="s">
        <v>483</v>
      </c>
      <c r="C37" s="5">
        <v>6.0</v>
      </c>
      <c r="D37" s="5" t="b">
        <v>1</v>
      </c>
      <c r="E37" s="12" t="s">
        <v>81</v>
      </c>
      <c r="F37" s="19" t="str">
        <f t="array" ref="F37">VLOOKUP(E37,{Source!B:B,Source!A:A},2,FALSE)</f>
        <v>10.1787/9789264238121-6-en</v>
      </c>
      <c r="G37" s="5" t="s">
        <v>474</v>
      </c>
    </row>
    <row r="38">
      <c r="A38" s="19" t="str">
        <f t="shared" si="1"/>
        <v>#NAME?</v>
      </c>
      <c r="B38" s="12" t="s">
        <v>160</v>
      </c>
      <c r="C38" s="5">
        <v>6.0</v>
      </c>
      <c r="D38" s="5" t="b">
        <v>1</v>
      </c>
      <c r="E38" s="12" t="s">
        <v>159</v>
      </c>
      <c r="F38" s="19" t="str">
        <f t="array" ref="F38">VLOOKUP(E38,{Source!B:B,Source!A:A},2,FALSE)</f>
        <v>10.18356/1f4aa5e0-en</v>
      </c>
    </row>
    <row r="39">
      <c r="A39" s="19" t="str">
        <f t="shared" si="1"/>
        <v>#NAME?</v>
      </c>
      <c r="B39" s="12" t="s">
        <v>289</v>
      </c>
      <c r="C39" s="5">
        <v>6.0</v>
      </c>
      <c r="D39" s="5" t="b">
        <v>0</v>
      </c>
      <c r="E39" s="12" t="s">
        <v>185</v>
      </c>
      <c r="F39" s="19" t="str">
        <f t="array" ref="F39">VLOOKUP(E39,{Source!B:B,Source!A:A},2,FALSE)</f>
        <v>10.1787/9789264208292-6-en</v>
      </c>
    </row>
    <row r="40">
      <c r="A40" s="19" t="str">
        <f t="shared" si="1"/>
        <v>#NAME?</v>
      </c>
      <c r="B40" s="12" t="s">
        <v>172</v>
      </c>
      <c r="C40" s="5">
        <v>6.0</v>
      </c>
      <c r="D40" s="5" t="b">
        <v>0</v>
      </c>
      <c r="E40" s="12" t="s">
        <v>171</v>
      </c>
      <c r="F40" s="19" t="str">
        <f t="array" ref="F40">VLOOKUP(E40,{Source!B:B,Source!A:A},2,FALSE)</f>
        <v>10.1787/9789264097896-7-en</v>
      </c>
    </row>
    <row r="41">
      <c r="A41" s="19" t="str">
        <f t="shared" si="1"/>
        <v>#NAME?</v>
      </c>
      <c r="B41" s="12" t="s">
        <v>129</v>
      </c>
      <c r="C41" s="5">
        <v>6.0</v>
      </c>
      <c r="D41" s="5" t="b">
        <v>1</v>
      </c>
      <c r="E41" s="12" t="s">
        <v>128</v>
      </c>
      <c r="F41" s="19" t="str">
        <f t="array" ref="F41">VLOOKUP(E41,{Source!B:B,Source!A:A},2,FALSE)</f>
        <v>10.18356/fe9e0125-en</v>
      </c>
    </row>
    <row r="42">
      <c r="A42" s="19" t="str">
        <f t="shared" si="1"/>
        <v>#NAME?</v>
      </c>
      <c r="B42" s="12" t="s">
        <v>105</v>
      </c>
      <c r="C42" s="5">
        <v>6.0</v>
      </c>
      <c r="D42" s="5" t="b">
        <v>1</v>
      </c>
      <c r="E42" s="12" t="s">
        <v>104</v>
      </c>
      <c r="F42" s="19" t="str">
        <f t="array" ref="F42">VLOOKUP(E42,{Source!B:B,Source!A:A},2,FALSE)</f>
        <v>10.1787/9789264119284-3-en</v>
      </c>
    </row>
    <row r="43">
      <c r="A43" s="19" t="str">
        <f t="shared" si="1"/>
        <v>#NAME?</v>
      </c>
      <c r="B43" s="12" t="s">
        <v>114</v>
      </c>
      <c r="C43" s="5">
        <v>6.0</v>
      </c>
      <c r="D43" s="5" t="b">
        <v>1</v>
      </c>
      <c r="E43" s="12" t="s">
        <v>113</v>
      </c>
      <c r="F43" s="19" t="str">
        <f t="array" ref="F43">VLOOKUP(E43,{Source!B:B,Source!A:A},2,FALSE)</f>
        <v>10.18356/a68df323-en</v>
      </c>
    </row>
    <row r="44">
      <c r="A44" s="19" t="str">
        <f t="shared" si="1"/>
        <v>#NAME?</v>
      </c>
      <c r="B44" s="48" t="s">
        <v>484</v>
      </c>
      <c r="C44" s="5">
        <v>6.0</v>
      </c>
      <c r="D44" s="5" t="b">
        <v>0</v>
      </c>
      <c r="E44" s="12" t="s">
        <v>245</v>
      </c>
      <c r="F44" s="19" t="str">
        <f t="array" ref="F44">VLOOKUP(E44,{Source!B:B,Source!A:A},2,FALSE)</f>
        <v>10.18356/b64c6036-en</v>
      </c>
      <c r="G44" s="5" t="s">
        <v>474</v>
      </c>
    </row>
    <row r="45">
      <c r="A45" s="19" t="str">
        <f t="shared" si="1"/>
        <v>#NAME?</v>
      </c>
      <c r="B45" s="12" t="s">
        <v>236</v>
      </c>
      <c r="C45" s="5">
        <v>6.0</v>
      </c>
      <c r="D45" s="5" t="b">
        <v>0</v>
      </c>
      <c r="E45" s="12" t="s">
        <v>235</v>
      </c>
      <c r="F45" s="19" t="str">
        <f t="array" ref="F45">VLOOKUP(E45,{Source!B:B,Source!A:A},2,FALSE)</f>
        <v>10.18356/5f39af5f-en</v>
      </c>
    </row>
    <row r="46">
      <c r="A46" s="19" t="str">
        <f t="shared" si="1"/>
        <v>#NAME?</v>
      </c>
      <c r="B46" s="12" t="s">
        <v>252</v>
      </c>
      <c r="C46" s="5">
        <v>6.0</v>
      </c>
      <c r="D46" s="5" t="b">
        <v>0</v>
      </c>
      <c r="E46" s="12" t="s">
        <v>251</v>
      </c>
      <c r="F46" s="19" t="str">
        <f t="array" ref="F46">VLOOKUP(E46,{Source!B:B,Source!A:A},2,FALSE)</f>
        <v>10.1787/9789264213753-6-en</v>
      </c>
    </row>
    <row r="47">
      <c r="A47" s="19" t="str">
        <f t="shared" si="1"/>
        <v>#NAME?</v>
      </c>
      <c r="B47" s="12" t="s">
        <v>92</v>
      </c>
      <c r="C47" s="5">
        <v>6.0</v>
      </c>
      <c r="D47" s="5" t="b">
        <v>1</v>
      </c>
      <c r="E47" s="12" t="s">
        <v>91</v>
      </c>
      <c r="F47" s="19" t="str">
        <f t="array" ref="F47">VLOOKUP(E47,{Source!B:B,Source!A:A},2,FALSE)</f>
        <v>10.1787/9789264279360-11-en</v>
      </c>
    </row>
    <row r="48">
      <c r="A48" s="19" t="str">
        <f t="shared" si="1"/>
        <v>#NAME?</v>
      </c>
      <c r="B48" s="12" t="s">
        <v>147</v>
      </c>
      <c r="C48" s="5">
        <v>6.0</v>
      </c>
      <c r="D48" s="5" t="b">
        <v>0</v>
      </c>
      <c r="E48" s="12" t="s">
        <v>146</v>
      </c>
      <c r="F48" s="19" t="str">
        <f t="array" ref="F48">VLOOKUP(E48,{Source!B:B,Source!A:A},2,FALSE)</f>
        <v>10.1787/9789264120525-2-en</v>
      </c>
    </row>
    <row r="49">
      <c r="A49" s="19" t="str">
        <f t="shared" si="1"/>
        <v>#NAME?</v>
      </c>
      <c r="B49" s="12" t="s">
        <v>122</v>
      </c>
      <c r="C49" s="5">
        <v>6.0</v>
      </c>
      <c r="D49" s="5" t="b">
        <v>0</v>
      </c>
      <c r="E49" s="12" t="s">
        <v>121</v>
      </c>
      <c r="F49" s="19" t="str">
        <f t="array" ref="F49">VLOOKUP(E49,{Source!B:B,Source!A:A},2,FALSE)</f>
        <v>10.1787/9789264100817-10-en</v>
      </c>
    </row>
    <row r="50">
      <c r="A50" s="19" t="str">
        <f t="shared" si="1"/>
        <v>#NAME?</v>
      </c>
      <c r="B50" s="48" t="s">
        <v>485</v>
      </c>
      <c r="C50" s="5">
        <v>6.0</v>
      </c>
      <c r="D50" s="5" t="b">
        <v>1</v>
      </c>
      <c r="E50" s="12" t="s">
        <v>215</v>
      </c>
      <c r="F50" s="19" t="str">
        <f t="array" ref="F50">VLOOKUP(E50,{Source!B:B,Source!A:A},2,FALSE)</f>
        <v>10.18356/0e8375fc-en</v>
      </c>
      <c r="G50" s="5" t="s">
        <v>474</v>
      </c>
    </row>
    <row r="51">
      <c r="A51" s="19" t="str">
        <f t="shared" si="1"/>
        <v>#NAME?</v>
      </c>
      <c r="B51" s="12" t="s">
        <v>184</v>
      </c>
      <c r="C51" s="5">
        <v>6.0</v>
      </c>
      <c r="D51" s="5" t="b">
        <v>1</v>
      </c>
      <c r="E51" s="12" t="s">
        <v>183</v>
      </c>
      <c r="F51" s="19" t="str">
        <f t="array" ref="F51">VLOOKUP(E51,{Source!B:B,Source!A:A},2,FALSE)</f>
        <v>10.18356/a68df323-en</v>
      </c>
    </row>
    <row r="52">
      <c r="A52" s="19" t="str">
        <f t="shared" si="1"/>
        <v>#NAME?</v>
      </c>
      <c r="B52" s="12" t="s">
        <v>145</v>
      </c>
      <c r="C52" s="5">
        <v>6.0</v>
      </c>
      <c r="D52" s="5" t="b">
        <v>1</v>
      </c>
      <c r="E52" s="12" t="s">
        <v>144</v>
      </c>
      <c r="F52" s="19" t="str">
        <f t="array" ref="F52">VLOOKUP(E52,{Source!B:B,Source!A:A},2,FALSE)</f>
        <v>10.1787/9789264285712-9-en</v>
      </c>
    </row>
    <row r="53">
      <c r="A53" s="19" t="str">
        <f t="shared" si="1"/>
        <v>#NAME?</v>
      </c>
      <c r="B53" s="12" t="s">
        <v>274</v>
      </c>
      <c r="C53" s="5">
        <v>6.0</v>
      </c>
      <c r="D53" s="5" t="b">
        <v>0</v>
      </c>
      <c r="E53" s="12" t="s">
        <v>273</v>
      </c>
      <c r="F53" s="19" t="str">
        <f t="array" ref="F53">VLOOKUP(E53,{Source!B:B,Source!A:A},2,FALSE)</f>
        <v>10.1787/9789264077287-en</v>
      </c>
    </row>
    <row r="54">
      <c r="A54" s="19" t="str">
        <f t="shared" si="1"/>
        <v>#NAME?</v>
      </c>
      <c r="B54" s="12" t="s">
        <v>116</v>
      </c>
      <c r="C54" s="5">
        <v>6.0</v>
      </c>
      <c r="D54" s="5" t="b">
        <v>1</v>
      </c>
      <c r="E54" s="12" t="s">
        <v>115</v>
      </c>
      <c r="F54" s="19" t="str">
        <f t="array" ref="F54">VLOOKUP(E54,{Source!B:B,Source!A:A},2,FALSE)</f>
        <v>10.18356/935513ee-en</v>
      </c>
    </row>
    <row r="55">
      <c r="A55" s="19" t="str">
        <f t="shared" si="1"/>
        <v>#NAME?</v>
      </c>
      <c r="B55" s="48" t="s">
        <v>486</v>
      </c>
      <c r="C55" s="5">
        <v>6.0</v>
      </c>
      <c r="D55" s="5" t="b">
        <v>1</v>
      </c>
      <c r="E55" s="12" t="s">
        <v>156</v>
      </c>
      <c r="F55" s="19" t="str">
        <f t="array" ref="F55">VLOOKUP(E55,{Source!B:B,Source!A:A},2,FALSE)</f>
        <v>10.1787/9789264119284-6-en</v>
      </c>
      <c r="G55" s="5" t="s">
        <v>474</v>
      </c>
    </row>
    <row r="56">
      <c r="A56" s="19" t="str">
        <f t="shared" si="1"/>
        <v>#NAME?</v>
      </c>
      <c r="B56" s="12" t="s">
        <v>193</v>
      </c>
      <c r="C56" s="5">
        <v>6.0</v>
      </c>
      <c r="D56" s="5" t="b">
        <v>0</v>
      </c>
      <c r="E56" s="12" t="s">
        <v>192</v>
      </c>
      <c r="F56" s="19" t="str">
        <f t="array" ref="F56">VLOOKUP(E56,{Source!B:B,Source!A:A},2,FALSE)</f>
        <v>10.1787/9789264121836-7-en</v>
      </c>
    </row>
    <row r="57">
      <c r="A57" s="19" t="str">
        <f t="shared" si="1"/>
        <v>#NAME?</v>
      </c>
      <c r="B57" s="12" t="s">
        <v>195</v>
      </c>
      <c r="C57" s="5">
        <v>6.0</v>
      </c>
      <c r="D57" s="5" t="b">
        <v>1</v>
      </c>
      <c r="E57" s="12" t="s">
        <v>194</v>
      </c>
      <c r="F57" s="19" t="str">
        <f t="array" ref="F57">VLOOKUP(E57,{Source!B:B,Source!A:A},2,FALSE)</f>
        <v>10.1787/9789264083660-7-en</v>
      </c>
    </row>
    <row r="58">
      <c r="A58" s="19" t="str">
        <f t="shared" si="1"/>
        <v>#NAME?</v>
      </c>
      <c r="B58" s="48" t="s">
        <v>487</v>
      </c>
      <c r="C58" s="5">
        <v>6.0</v>
      </c>
      <c r="D58" s="5" t="b">
        <v>1</v>
      </c>
      <c r="E58" s="12" t="s">
        <v>76</v>
      </c>
      <c r="F58" s="19" t="str">
        <f t="array" ref="F58">VLOOKUP(E58,{Source!B:B,Source!A:A},2,FALSE)</f>
        <v>10.1787/9789264281707-7-en</v>
      </c>
      <c r="G58" s="5" t="s">
        <v>474</v>
      </c>
    </row>
    <row r="59">
      <c r="A59" s="19" t="str">
        <f t="shared" si="1"/>
        <v>#NAME?</v>
      </c>
      <c r="B59" s="12" t="s">
        <v>127</v>
      </c>
      <c r="C59" s="5">
        <v>6.0</v>
      </c>
      <c r="D59" s="5" t="b">
        <v>0</v>
      </c>
      <c r="E59" s="12" t="s">
        <v>126</v>
      </c>
      <c r="F59" s="19" t="str">
        <f t="array" ref="F59">VLOOKUP(E59,{Source!B:B,Source!A:A},2,FALSE)</f>
        <v>10.1787/9789264279360-5-en</v>
      </c>
    </row>
    <row r="60">
      <c r="A60" s="19" t="str">
        <f t="shared" si="1"/>
        <v>#NAME?</v>
      </c>
      <c r="B60" s="12" t="s">
        <v>232</v>
      </c>
      <c r="C60" s="5">
        <v>6.0</v>
      </c>
      <c r="D60" s="5" t="b">
        <v>1</v>
      </c>
      <c r="E60" s="12" t="s">
        <v>231</v>
      </c>
      <c r="F60" s="19" t="str">
        <f t="array" ref="F60">VLOOKUP(E60,{Source!B:B,Source!A:A},2,FALSE)</f>
        <v>10.1787/9789264279551-6-en</v>
      </c>
    </row>
    <row r="61">
      <c r="A61" s="19" t="str">
        <f t="shared" si="1"/>
        <v>#NAME?</v>
      </c>
      <c r="B61" s="48" t="s">
        <v>488</v>
      </c>
      <c r="C61" s="5">
        <v>6.0</v>
      </c>
      <c r="D61" s="5" t="b">
        <v>1</v>
      </c>
      <c r="E61" s="12" t="s">
        <v>70</v>
      </c>
      <c r="F61" s="19" t="str">
        <f t="array" ref="F61">VLOOKUP(E61,{Source!B:B,Source!A:A},2,FALSE)</f>
        <v>10.1787/9789264238701-5-en</v>
      </c>
      <c r="G61" s="5" t="s">
        <v>474</v>
      </c>
    </row>
    <row r="62">
      <c r="A62" s="19" t="str">
        <f t="shared" si="1"/>
        <v>#NAME?</v>
      </c>
      <c r="B62" s="12" t="s">
        <v>189</v>
      </c>
      <c r="C62" s="5">
        <v>6.0</v>
      </c>
      <c r="D62" s="5" t="b">
        <v>1</v>
      </c>
      <c r="E62" s="12" t="s">
        <v>188</v>
      </c>
      <c r="F62" s="19" t="str">
        <f t="array" ref="F62">VLOOKUP(E62,{Source!B:B,Source!A:A},2,FALSE)</f>
        <v>10.18356/07e053e9-en</v>
      </c>
    </row>
    <row r="63">
      <c r="A63" s="19" t="str">
        <f t="shared" si="1"/>
        <v>#NAME?</v>
      </c>
      <c r="B63" s="12" t="s">
        <v>212</v>
      </c>
      <c r="C63" s="5">
        <v>6.0</v>
      </c>
      <c r="D63" s="5" t="b">
        <v>0</v>
      </c>
      <c r="E63" s="12" t="s">
        <v>211</v>
      </c>
      <c r="F63" s="19" t="str">
        <f t="array" ref="F63">VLOOKUP(E63,{Source!B:B,Source!A:A},2,FALSE)</f>
        <v>10.1787/9789264208292-6-en</v>
      </c>
    </row>
    <row r="64">
      <c r="A64" s="19" t="str">
        <f t="shared" si="1"/>
        <v>#NAME?</v>
      </c>
      <c r="B64" s="12" t="s">
        <v>120</v>
      </c>
      <c r="C64" s="5">
        <v>6.0</v>
      </c>
      <c r="D64" s="5" t="b">
        <v>1</v>
      </c>
      <c r="E64" s="12" t="s">
        <v>119</v>
      </c>
      <c r="F64" s="19" t="str">
        <f t="array" ref="F64">VLOOKUP(E64,{Source!B:B,Source!A:A},2,FALSE)</f>
        <v>10.1787/9789264281707-8-en</v>
      </c>
    </row>
    <row r="65">
      <c r="A65" s="19" t="str">
        <f t="shared" si="1"/>
        <v>#NAME?</v>
      </c>
      <c r="B65" s="12" t="s">
        <v>248</v>
      </c>
      <c r="C65" s="5">
        <v>6.0</v>
      </c>
      <c r="D65" s="5" t="b">
        <v>1</v>
      </c>
      <c r="E65" s="12" t="s">
        <v>247</v>
      </c>
      <c r="F65" s="19" t="str">
        <f t="array" ref="F65">VLOOKUP(E65,{Source!B:B,Source!A:A},2,FALSE)</f>
        <v>10.18356/cf6cb95e-en</v>
      </c>
    </row>
    <row r="66">
      <c r="A66" s="19" t="str">
        <f t="shared" si="1"/>
        <v>#NAME?</v>
      </c>
      <c r="B66" s="48" t="s">
        <v>489</v>
      </c>
      <c r="C66" s="5">
        <v>6.0</v>
      </c>
      <c r="D66" s="5" t="b">
        <v>0</v>
      </c>
      <c r="E66" s="12" t="s">
        <v>181</v>
      </c>
      <c r="F66" s="19" t="str">
        <f t="array" ref="F66">VLOOKUP(E66,{Source!B:B,Source!A:A},2,FALSE)</f>
        <v>10.1787/9789264251090-8-en</v>
      </c>
      <c r="G66" s="5" t="s">
        <v>474</v>
      </c>
    </row>
    <row r="67">
      <c r="A67" s="19" t="str">
        <f t="shared" si="1"/>
        <v>#NAME?</v>
      </c>
      <c r="B67" s="12" t="s">
        <v>260</v>
      </c>
      <c r="C67" s="5">
        <v>6.0</v>
      </c>
      <c r="D67" s="5" t="b">
        <v>1</v>
      </c>
      <c r="E67" s="12" t="s">
        <v>259</v>
      </c>
      <c r="F67" s="19" t="str">
        <f t="array" ref="F67">VLOOKUP(E67,{Source!B:B,Source!A:A},2,FALSE)</f>
        <v>10.1787/9789264119284-6-en</v>
      </c>
    </row>
    <row r="68">
      <c r="A68" s="19" t="str">
        <f t="shared" si="1"/>
        <v>#NAME?</v>
      </c>
      <c r="B68" s="12" t="s">
        <v>220</v>
      </c>
      <c r="C68" s="5">
        <v>6.0</v>
      </c>
      <c r="D68" s="5" t="b">
        <v>1</v>
      </c>
      <c r="E68" s="12" t="s">
        <v>219</v>
      </c>
      <c r="F68" s="19" t="str">
        <f t="array" ref="F68">VLOOKUP(E68,{Source!B:B,Source!A:A},2,FALSE)</f>
        <v>10.18356/e333ca08-en</v>
      </c>
    </row>
    <row r="69">
      <c r="A69" s="19" t="str">
        <f t="shared" si="1"/>
        <v>#NAME?</v>
      </c>
      <c r="B69" s="12" t="s">
        <v>268</v>
      </c>
      <c r="C69" s="5">
        <v>6.0</v>
      </c>
      <c r="D69" s="5" t="b">
        <v>0</v>
      </c>
      <c r="E69" s="12" t="s">
        <v>267</v>
      </c>
      <c r="F69" s="19" t="str">
        <f t="array" ref="F69">VLOOKUP(E69,{Source!B:B,Source!A:A},2,FALSE)</f>
        <v>10.1787/eco/surveys-chn-2013-5-en</v>
      </c>
    </row>
    <row r="70">
      <c r="A70" s="19" t="str">
        <f t="shared" si="1"/>
        <v>#NAME?</v>
      </c>
      <c r="B70" s="12" t="s">
        <v>124</v>
      </c>
      <c r="C70" s="5">
        <v>6.0</v>
      </c>
      <c r="D70" s="5" t="b">
        <v>1</v>
      </c>
      <c r="E70" s="12" t="s">
        <v>123</v>
      </c>
      <c r="F70" s="19" t="str">
        <f t="array" ref="F70">VLOOKUP(E70,{Source!B:B,Source!A:A},2,FALSE)</f>
        <v>10.1787/9789264187894-7-en</v>
      </c>
    </row>
    <row r="71">
      <c r="A71" s="19" t="str">
        <f t="shared" si="1"/>
        <v>#NAME?</v>
      </c>
      <c r="B71" s="48" t="s">
        <v>490</v>
      </c>
      <c r="C71" s="5">
        <v>6.0</v>
      </c>
      <c r="D71" s="5" t="b">
        <v>1</v>
      </c>
      <c r="E71" s="12" t="s">
        <v>83</v>
      </c>
      <c r="F71" s="19" t="str">
        <f t="array" ref="F71">VLOOKUP(E71,{Source!B:B,Source!A:A},2,FALSE)</f>
        <v>10.18356/550b76bf-en</v>
      </c>
      <c r="G71" s="5" t="s">
        <v>474</v>
      </c>
    </row>
    <row r="72">
      <c r="A72" s="19" t="str">
        <f t="shared" si="1"/>
        <v>#NAME?</v>
      </c>
      <c r="B72" s="12" t="s">
        <v>131</v>
      </c>
      <c r="C72" s="5">
        <v>6.0</v>
      </c>
      <c r="D72" s="5" t="b">
        <v>0</v>
      </c>
      <c r="E72" s="12" t="s">
        <v>130</v>
      </c>
      <c r="F72" s="19" t="str">
        <f t="array" ref="F72">VLOOKUP(E72,{Source!B:B,Source!A:A},2,FALSE)</f>
        <v>10.1787/9789264077287-en</v>
      </c>
    </row>
    <row r="73">
      <c r="A73" s="19" t="str">
        <f t="shared" si="1"/>
        <v>#NAME?</v>
      </c>
      <c r="B73" s="12" t="s">
        <v>201</v>
      </c>
      <c r="C73" s="5">
        <v>6.0</v>
      </c>
      <c r="D73" s="5" t="b">
        <v>1</v>
      </c>
      <c r="E73" s="12" t="s">
        <v>200</v>
      </c>
      <c r="F73" s="19" t="str">
        <f t="array" ref="F73">VLOOKUP(E73,{Source!B:B,Source!A:A},2,FALSE)</f>
        <v>10.18356/19c562f5-en</v>
      </c>
    </row>
    <row r="74">
      <c r="A74" s="19" t="str">
        <f t="shared" si="1"/>
        <v>#NAME?</v>
      </c>
      <c r="B74" s="12" t="s">
        <v>262</v>
      </c>
      <c r="C74" s="5">
        <v>6.0</v>
      </c>
      <c r="D74" s="5" t="b">
        <v>1</v>
      </c>
      <c r="E74" s="12" t="s">
        <v>261</v>
      </c>
      <c r="F74" s="19" t="str">
        <f t="array" ref="F74">VLOOKUP(E74,{Source!B:B,Source!A:A},2,FALSE)</f>
        <v>10.1787/1826beee-en</v>
      </c>
    </row>
    <row r="75">
      <c r="A75" s="19" t="str">
        <f t="shared" si="1"/>
        <v>#NAME?</v>
      </c>
      <c r="B75" s="48" t="s">
        <v>491</v>
      </c>
      <c r="C75" s="5">
        <v>6.0</v>
      </c>
      <c r="D75" s="5" t="b">
        <v>0</v>
      </c>
      <c r="E75" s="12" t="s">
        <v>169</v>
      </c>
      <c r="F75" s="19" t="str">
        <f t="array" ref="F75">VLOOKUP(E75,{Source!B:B,Source!A:A},2,FALSE)</f>
        <v>10.18356/2c323ce7-en</v>
      </c>
      <c r="G75" s="5" t="s">
        <v>482</v>
      </c>
    </row>
    <row r="76">
      <c r="A76" s="19" t="str">
        <f t="shared" si="1"/>
        <v>#NAME?</v>
      </c>
      <c r="B76" s="12" t="s">
        <v>110</v>
      </c>
      <c r="C76" s="5">
        <v>6.0</v>
      </c>
      <c r="D76" s="5" t="b">
        <v>1</v>
      </c>
      <c r="E76" s="12" t="s">
        <v>109</v>
      </c>
      <c r="F76" s="19" t="str">
        <f t="array" ref="F76">VLOOKUP(E76,{Source!B:B,Source!A:A},2,FALSE)</f>
        <v>10.1787/9789264202405-5-en</v>
      </c>
    </row>
    <row r="77">
      <c r="A77" s="19" t="str">
        <f t="shared" si="1"/>
        <v>#NAME?</v>
      </c>
      <c r="B77" s="12" t="s">
        <v>141</v>
      </c>
      <c r="C77" s="5">
        <v>6.0</v>
      </c>
      <c r="D77" s="5" t="b">
        <v>1</v>
      </c>
      <c r="E77" s="12" t="s">
        <v>140</v>
      </c>
      <c r="F77" s="19" t="str">
        <f t="array" ref="F77">VLOOKUP(E77,{Source!B:B,Source!A:A},2,FALSE)</f>
        <v>10.18356/a68df323-en</v>
      </c>
    </row>
    <row r="78">
      <c r="A78" s="19" t="str">
        <f t="shared" si="1"/>
        <v>#NAME?</v>
      </c>
      <c r="B78" s="48" t="s">
        <v>492</v>
      </c>
      <c r="C78" s="5">
        <v>6.0</v>
      </c>
      <c r="D78" s="5" t="b">
        <v>0</v>
      </c>
      <c r="E78" s="12" t="s">
        <v>79</v>
      </c>
      <c r="F78" s="19" t="str">
        <f t="array" ref="F78">VLOOKUP(E78,{Source!B:B,Source!A:A},2,FALSE)</f>
        <v>10.18356/5f39af5f-en</v>
      </c>
      <c r="G78" s="5" t="s">
        <v>479</v>
      </c>
    </row>
    <row r="79">
      <c r="A79" s="19" t="str">
        <f t="shared" si="1"/>
        <v>#NAME?</v>
      </c>
      <c r="B79" s="12" t="s">
        <v>228</v>
      </c>
      <c r="C79" s="5">
        <v>6.0</v>
      </c>
      <c r="D79" s="5" t="b">
        <v>1</v>
      </c>
      <c r="E79" s="12" t="s">
        <v>227</v>
      </c>
      <c r="F79" s="19" t="str">
        <f t="array" ref="F79">VLOOKUP(E79,{Source!B:B,Source!A:A},2,FALSE)</f>
        <v>10.18356/cf6cb95e-en</v>
      </c>
    </row>
    <row r="80">
      <c r="A80" s="19" t="str">
        <f t="shared" si="1"/>
        <v>#NAME?</v>
      </c>
      <c r="B80" s="12" t="s">
        <v>118</v>
      </c>
      <c r="C80" s="5">
        <v>6.0</v>
      </c>
      <c r="D80" s="5" t="b">
        <v>0</v>
      </c>
      <c r="E80" s="12" t="s">
        <v>117</v>
      </c>
      <c r="F80" s="19" t="str">
        <f t="array" ref="F80">VLOOKUP(E80,{Source!B:B,Source!A:A},2,FALSE)</f>
        <v>10.1787/9789264119284-6-en</v>
      </c>
    </row>
    <row r="81">
      <c r="A81" s="19" t="str">
        <f t="shared" si="1"/>
        <v>#NAME?</v>
      </c>
      <c r="B81" s="12" t="s">
        <v>234</v>
      </c>
      <c r="C81" s="5">
        <v>6.0</v>
      </c>
      <c r="D81" s="5" t="b">
        <v>0</v>
      </c>
      <c r="E81" s="12" t="s">
        <v>233</v>
      </c>
      <c r="F81" s="19" t="str">
        <f t="array" ref="F81">VLOOKUP(E81,{Source!B:B,Source!A:A},2,FALSE)</f>
        <v>10.18356/935513ee-en</v>
      </c>
    </row>
    <row r="82">
      <c r="A82" s="19" t="str">
        <f t="shared" si="1"/>
        <v>#NAME?</v>
      </c>
      <c r="B82" s="12" t="s">
        <v>187</v>
      </c>
      <c r="C82" s="5">
        <v>6.0</v>
      </c>
      <c r="D82" s="5" t="b">
        <v>0</v>
      </c>
      <c r="E82" s="12" t="s">
        <v>186</v>
      </c>
      <c r="F82" s="19" t="str">
        <f t="array" ref="F82">VLOOKUP(E82,{Source!B:B,Source!A:A},2,FALSE)</f>
        <v>10.14217/9781848599178-5-en</v>
      </c>
    </row>
    <row r="83">
      <c r="A83" s="19" t="str">
        <f t="shared" si="1"/>
        <v>#NAME?</v>
      </c>
      <c r="B83" s="48" t="s">
        <v>493</v>
      </c>
      <c r="C83" s="5">
        <v>6.0</v>
      </c>
      <c r="D83" s="5" t="b">
        <v>0</v>
      </c>
      <c r="E83" s="12" t="s">
        <v>223</v>
      </c>
      <c r="F83" s="19" t="str">
        <f t="array" ref="F83">VLOOKUP(E83,{Source!B:B,Source!A:A},2,FALSE)</f>
        <v>10.18356/f47faf05-en</v>
      </c>
    </row>
    <row r="84">
      <c r="A84" s="19" t="str">
        <f t="shared" si="1"/>
        <v>#NAME?</v>
      </c>
      <c r="B84" s="12" t="s">
        <v>230</v>
      </c>
      <c r="C84" s="5">
        <v>6.0</v>
      </c>
      <c r="D84" s="5" t="b">
        <v>0</v>
      </c>
      <c r="E84" s="12" t="s">
        <v>229</v>
      </c>
      <c r="F84" s="19" t="str">
        <f t="array" ref="F84">VLOOKUP(E84,{Source!B:B,Source!A:A},2,FALSE)</f>
        <v>10.1787/9789264077287-en</v>
      </c>
    </row>
    <row r="85">
      <c r="A85" s="19" t="str">
        <f t="shared" si="1"/>
        <v>#NAME?</v>
      </c>
      <c r="B85" s="12" t="s">
        <v>137</v>
      </c>
      <c r="C85" s="5">
        <v>6.0</v>
      </c>
      <c r="D85" s="5" t="b">
        <v>0</v>
      </c>
      <c r="E85" s="12" t="s">
        <v>136</v>
      </c>
      <c r="F85" s="19" t="str">
        <f t="array" ref="F85">VLOOKUP(E85,{Source!B:B,Source!A:A},2,FALSE)</f>
        <v>10.1787/9789264077287-en</v>
      </c>
    </row>
    <row r="86">
      <c r="A86" s="19" t="str">
        <f t="shared" si="1"/>
        <v>#NAME?</v>
      </c>
      <c r="B86" s="48" t="s">
        <v>494</v>
      </c>
      <c r="C86" s="5">
        <v>6.0</v>
      </c>
      <c r="D86" s="5" t="b">
        <v>0</v>
      </c>
      <c r="E86" s="12" t="s">
        <v>85</v>
      </c>
      <c r="F86" s="19" t="str">
        <f t="array" ref="F86">VLOOKUP(E86,{Source!B:B,Source!A:A},2,FALSE)</f>
        <v>10.14217/9781848590823-19-en</v>
      </c>
      <c r="G86" s="5" t="s">
        <v>474</v>
      </c>
    </row>
  </sheetData>
  <autoFilter ref="$A$1:$G$961"/>
  <drawing r:id="rId1"/>
</worksheet>
</file>