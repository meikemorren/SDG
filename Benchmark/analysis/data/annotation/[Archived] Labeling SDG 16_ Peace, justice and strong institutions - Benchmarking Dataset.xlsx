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Finn" sheetId="2" r:id="rId5"/>
    <sheet state="visible" name="Gib" sheetId="3" r:id="rId6"/>
    <sheet state="visible" name="Ivan" sheetId="4" r:id="rId7"/>
    <sheet state="visible" name="Jean-Baptiste" sheetId="5" r:id="rId8"/>
    <sheet state="visible" name="Meike" sheetId="6" r:id="rId9"/>
    <sheet state="visible" name="Steve" sheetId="7" r:id="rId10"/>
    <sheet state="visible" name="Source" sheetId="8" r:id="rId11"/>
    <sheet state="visible" name="Final Review" sheetId="9" r:id="rId12"/>
    <sheet state="visible" name="Output" sheetId="10" r:id="rId13"/>
  </sheets>
  <definedNames>
    <definedName hidden="1" localSheetId="7" name="_xlnm._FilterDatabase">Source!$A$1:$K$101</definedName>
    <definedName hidden="1" localSheetId="8" name="_xlnm._FilterDatabase">'Final Review'!$A$1:$U$101</definedName>
    <definedName hidden="1" localSheetId="9" name="_xlnm._FilterDatabase">Output!$A$1:$F$69</definedName>
  </definedNames>
  <calcPr/>
</workbook>
</file>

<file path=xl/sharedStrings.xml><?xml version="1.0" encoding="utf-8"?>
<sst xmlns="http://schemas.openxmlformats.org/spreadsheetml/2006/main" count="2494" uniqueCount="527">
  <si>
    <t>Hello 👋</t>
  </si>
  <si>
    <t>Welcome to the labeling exercise for SDG 16.</t>
  </si>
  <si>
    <t>The objective of this exercise is to label 100 texts in terms of their relevance to SDG 16.</t>
  </si>
  <si>
    <t>Your Labeling Sheet</t>
  </si>
  <si>
    <t>You have your own personal sheet for assigning the labels. You will find it by clicking on your name in the list at the bottom of this page.</t>
  </si>
  <si>
    <t>Each sheet has the same 100 texts, but the order in which they appear has been randomized.</t>
  </si>
  <si>
    <t>Later on, we will put everyone's labels side-by-side. This will help us identify texts with high and low alignment.</t>
  </si>
  <si>
    <t>At our next meeting, we will discuss the texts where we have disagreements and see if we can reach a consensus for the "true" label for every text.</t>
  </si>
  <si>
    <t>Please resist the temptation to look at other people's labels until you are done labeling. 🙂</t>
  </si>
  <si>
    <t>Explanation of Labels</t>
  </si>
  <si>
    <t>On your personal sheet, you will find the text in column B.</t>
  </si>
  <si>
    <t>Column C contains a drop-down for picking the appropriate label. The options are:</t>
  </si>
  <si>
    <t>This text is relevant to SDG 16</t>
  </si>
  <si>
    <t>This text is not relevant to SDG 16</t>
  </si>
  <si>
    <t>SKIP</t>
  </si>
  <si>
    <t>You can use this if you are not sure about the label</t>
  </si>
  <si>
    <t>If you want, you can put any comments in column D.</t>
  </si>
  <si>
    <t>Instructions for Labeling</t>
  </si>
  <si>
    <t>The text should be annotated as SDG 16 only if:</t>
  </si>
  <si>
    <r>
      <rPr>
        <rFont val="Arial"/>
        <color theme="1"/>
        <u/>
      </rPr>
      <t xml:space="preserve">1. The text addresses </t>
    </r>
    <r>
      <rPr>
        <rFont val="Arial"/>
        <b/>
        <color theme="1"/>
        <u/>
      </rPr>
      <t>SDG 16 or one of its targets</t>
    </r>
  </si>
  <si>
    <t>See the official definitions of SDG 16 and its targets below ("SDG 16 Description &amp; Targets").</t>
  </si>
  <si>
    <t>AND</t>
  </si>
  <si>
    <r>
      <rPr>
        <rFont val="Arial"/>
        <color theme="1"/>
        <u/>
      </rPr>
      <t xml:space="preserve">2. The text addresses SDG 16 or its targets </t>
    </r>
    <r>
      <rPr>
        <rFont val="Arial"/>
        <b/>
        <color theme="1"/>
        <u/>
      </rPr>
      <t>directly</t>
    </r>
    <r>
      <rPr>
        <rFont val="Arial"/>
        <color theme="1"/>
        <u/>
      </rPr>
      <t>:</t>
    </r>
  </si>
  <si>
    <t>- the text should be directly relevant to SDG 16 or to achieving SDG 16</t>
  </si>
  <si>
    <t>- if a text only has an indirect or implicit relevance, it should not be labeled SDG 16</t>
  </si>
  <si>
    <r>
      <rPr>
        <rFont val="Arial"/>
        <color theme="1"/>
        <u/>
      </rPr>
      <t xml:space="preserve">3. The text addresses SDG 16 or its targets </t>
    </r>
    <r>
      <rPr>
        <rFont val="Arial"/>
        <b/>
        <color theme="1"/>
        <u/>
      </rPr>
      <t>specifically</t>
    </r>
    <r>
      <rPr>
        <rFont val="Arial"/>
        <color theme="1"/>
        <u/>
      </rPr>
      <t>:</t>
    </r>
  </si>
  <si>
    <t>- the text should be specific to SDG 16 and its targets</t>
  </si>
  <si>
    <t>- if fact stating, the text should contain value-laden words (e.g. renewable energy instead of energy, drug abuse instead of drugs, infant mortality instead of premature deaths)</t>
  </si>
  <si>
    <r>
      <rPr>
        <rFont val="Arial"/>
        <color theme="1"/>
        <u/>
      </rPr>
      <t xml:space="preserve">4. Annotate as SDG 16 regardless of </t>
    </r>
    <r>
      <rPr>
        <rFont val="Arial"/>
        <b/>
        <color theme="1"/>
        <u/>
      </rPr>
      <t>valence</t>
    </r>
    <r>
      <rPr>
        <rFont val="Arial"/>
        <color theme="1"/>
        <u/>
      </rPr>
      <t xml:space="preserve"> and </t>
    </r>
    <r>
      <rPr>
        <rFont val="Arial"/>
        <b/>
        <color theme="1"/>
        <u/>
      </rPr>
      <t>other SDGs</t>
    </r>
    <r>
      <rPr>
        <rFont val="Arial"/>
        <color theme="1"/>
        <u/>
      </rPr>
      <t>:</t>
    </r>
  </si>
  <si>
    <t>- annotate as SDG 16 regardless of whether the content is discussed in a positive or negative light. We ignore valence (sentiment) for now.</t>
  </si>
  <si>
    <t>- annotate as SDG 16 even if other SDGs are mentioned and annotate as SDG 16 even if SDG 16 is not the "most important" SDG in the text</t>
  </si>
  <si>
    <t>With all that said, please do trust your judgment! I am sure we will have important discussions about these issues next time — which is exactly what we want 😊</t>
  </si>
  <si>
    <t>SDG 16 Description &amp; Targets</t>
  </si>
  <si>
    <t>SDG 16</t>
  </si>
  <si>
    <t>Promote peaceful and inclusive societies for sustainable development, provide access to justice for all and build effective, accountable and inclusive institutions at all levels</t>
  </si>
  <si>
    <t>Target 16.1</t>
  </si>
  <si>
    <t>Significantly reduce all forms of violence and related death rates everywhere</t>
  </si>
  <si>
    <t>Target 16.2</t>
  </si>
  <si>
    <t>End abuse, exploitation, trafficking and all forms of violence against and torture of children</t>
  </si>
  <si>
    <t>Target 16.3</t>
  </si>
  <si>
    <t>Promote the rule of law at the national and international levels and ensure equal access to justice for all</t>
  </si>
  <si>
    <t>Target 16.4</t>
  </si>
  <si>
    <t>By 2030, significantly reduce illicit financial and arms flows, strengthen the recovery and return of stolen assets and combat all forms of organized crime</t>
  </si>
  <si>
    <t>Target 16.5</t>
  </si>
  <si>
    <t>Substantially reduce corruption and bribery in all their forms</t>
  </si>
  <si>
    <t>Target 16.6</t>
  </si>
  <si>
    <t>Develop effective, accountable and transparent institutions at all levels</t>
  </si>
  <si>
    <t>Target 16.7</t>
  </si>
  <si>
    <t>Ensure responsive, inclusive, participatory and representative decision-making at all levels</t>
  </si>
  <si>
    <t>Target 16.8</t>
  </si>
  <si>
    <t>Broaden and strengthen the participation of developing countries in the institutions of global governance</t>
  </si>
  <si>
    <t>Target 16.9</t>
  </si>
  <si>
    <t>By 2030, provide legal identity for all, including birth registration</t>
  </si>
  <si>
    <t>Target 16.10</t>
  </si>
  <si>
    <t>Ensure public access to information and protect fundamental freedoms, in accordance with national legislation and international agreements</t>
  </si>
  <si>
    <t>Target 16.a</t>
  </si>
  <si>
    <t>Strengthen relevant national institutions, including through international cooperation, for building capacity at all levels, in particular in developing countries, to prevent violence and combat terrorism and crime</t>
  </si>
  <si>
    <t>Target 16.b</t>
  </si>
  <si>
    <t>Promote and enforce non-discriminatory laws and policies for sustainable development</t>
  </si>
  <si>
    <t>Click here to see all other SDGs and targets.</t>
  </si>
  <si>
    <t>Labeling Sheets</t>
  </si>
  <si>
    <t>Please click on your name to access your personal labeling sheet. Names are listed in alphabetical order.</t>
  </si>
  <si>
    <t>Name</t>
  </si>
  <si>
    <r>
      <rPr>
        <rFont val="Arial"/>
        <b/>
        <color theme="1"/>
      </rPr>
      <t>Progress</t>
    </r>
    <r>
      <rPr>
        <rFont val="Arial"/>
        <b val="0"/>
        <color theme="1"/>
      </rPr>
      <t xml:space="preserve"> (will update automatically)</t>
    </r>
  </si>
  <si>
    <t>Finn</t>
  </si>
  <si>
    <t>Gib</t>
  </si>
  <si>
    <t>Ivan</t>
  </si>
  <si>
    <t>Jean-Baptiste</t>
  </si>
  <si>
    <t>Meike</t>
  </si>
  <si>
    <t>Steve</t>
  </si>
  <si>
    <t>Thank you for being part of this exercise and thanks to OSDG for the dataset! ❤️</t>
  </si>
  <si>
    <t>Text Selection</t>
  </si>
  <si>
    <t>FYI: You do not need to read this section. We are just documenting how the texts for this exercise were selected.</t>
  </si>
  <si>
    <t>In total, 100 texts were selected from the OSDG dataset for SDG 16. The reason for selecting each text is documented in the "Source" sheet.</t>
  </si>
  <si>
    <t>Automatic Selection (50 texts)</t>
  </si>
  <si>
    <t>50 texts were selected automatically</t>
  </si>
  <si>
    <t>- 25 texts that OSDG community labeled as "SDG 16"</t>
  </si>
  <si>
    <t>- 25 texts that OSDG community labeled as "not SDG 16"</t>
  </si>
  <si>
    <t>In the OSDG dataset, each text has an agreement score between 0 (equal positive and negative labels) to 1 (full consensus).</t>
  </si>
  <si>
    <t>Each set of the 25 texts above consist of:</t>
  </si>
  <si>
    <t>- 5 texts with agreement score &gt; 0.8</t>
  </si>
  <si>
    <t>- 5 texts with agreement score &gt; 0.6 and &lt;= 0.8</t>
  </si>
  <si>
    <t>- 5 texts with agreement score &gt; 0.4 and &lt;= 0.6</t>
  </si>
  <si>
    <t>- 5 texts with agreement score &gt; 0.2 and &lt;= 0.4</t>
  </si>
  <si>
    <t>- 5 texts with agrement score &gt; 0 and &lt;= 0.2</t>
  </si>
  <si>
    <t>For each permutation (label + agreement level), the five texts with the largest number of annotators were selected.</t>
  </si>
  <si>
    <t>Manual Selection (50 texts)</t>
  </si>
  <si>
    <t>25 texts that OSDG community labeled as "SDG 16"</t>
  </si>
  <si>
    <t>- 3 texts that relate to the goal as a whole</t>
  </si>
  <si>
    <t>- 20 texts (2 per target) that relate to SDG targets 16.1 - 16.10</t>
  </si>
  <si>
    <t>- 2 texts (1 per target) that relate to SDG targets 16.a and 16.b</t>
  </si>
  <si>
    <t>25 texts that OSDG community labeled as "not SDG 16"</t>
  </si>
  <si>
    <t>- 3 texts that contain words relating to the goal as a whole</t>
  </si>
  <si>
    <t>- 20 texts (2 per target) that contain words relating to SDG targets 16.1 - 16.10</t>
  </si>
  <si>
    <t>- 2 texts (1 per target) that contain words relating to SDG targets 16.a and 16.b</t>
  </si>
  <si>
    <t>Text ID</t>
  </si>
  <si>
    <t>Text</t>
  </si>
  <si>
    <t>SDG 16 Label</t>
  </si>
  <si>
    <t>Comments (optional)</t>
  </si>
  <si>
    <t>055df43e31448cdaa69cdfefb6841699</t>
  </si>
  <si>
    <t>This paper focuses on the role of discourse as a means of conferring identity and reducing task-related anxiety. Seeing discourse in this essentially defensive light leads to a new perspective on resistance to organizational change, portraying it as a threat to the defense structure of established discourses. To illustrate, the nascent discourse of electronic government will be examined. Although a potent new discourse, e-government clashes strongly with the discursively embedded social defense systems of local government. A case study is reported in a UK local authority. Drawing on actor network theory, it is shown how the hegemonic influence of the social defenses translated the radical rhetoric of e-government into an operational discourse that was bland and unthreatening.</t>
  </si>
  <si>
    <t>c298d935b3cdda69507f2b4953c6beef</t>
  </si>
  <si>
    <t>Abstract Concerned that public schooling leads to mediocrity rather than meritocracy, many middle-class parents are seeking other options such as private schools, alternative public schools, and charter schools to develop their children's academic, creative, and athletic talents. Based on a mixed method investigation of school choice among parents (N = 1,871) in the two largest cities in the Province of Alberta, this paper examines the logic, values, and concerns that inform parental decision-making and the impact of social class differentiation in the process of selection of elementary schools. Issues surrounding the placement of gifted students in various school options are discussed.</t>
  </si>
  <si>
    <t>8030fe9ba91032305f46e168ca1219b6</t>
  </si>
  <si>
    <t>Amartya Sen’s comparative approach to justice makes clear that notions of justice are shaped by human agency and experience, and both his focus on the ‘internal view’ of well-being that emphasizes suffering as a central feature of illness and his recognition that social and cultural factors shape perceived injustice are critical to this approach. However, Sen questionably depicts the contributions of anthropological research to this project as limited to ‘the sensory dimension of ill-health.’ Focusing on mental health in the context of global justice, I argue that Sen’s treatise on justice can be refined through an ethnographic method that synchronizes attention to (1) cultural knowledge and social relations in ecological settings, (2) fundamental human needs, and (3) levels of analytic specificity involving situations, categories, and events. This method integrates analysis of internal phenomenology and external constraints of political economy and ideology. To demonstrate I discuss three cases involving...</t>
  </si>
  <si>
    <t>1f5a19f7ca8125772f4c3a6cdbbaa58e</t>
  </si>
  <si>
    <t>This article will explore the dilemmas that Albania has been experiencing in implementing the rule of law during the past two decades with particular attention to the political institutional obstacles, including the difficulties of establishing an independent judiciary and the pervasiveness of corruption. The concept of the rule of law will be the lens through which the difficulties of the democratization process will be examined. The lack of transparency in the legislature and more broadly in the political decision-making process, and the divisive and leader-dominated political party system are two additional obstacles that Albania is facing in consolidating democracy. Since its first post-communist election in 1991, Albania has experienced challenges in conducting legitimate elections that meet international standards. The political and cultural environment where these political institutions operate and from which they have been constructed will provide the backdrop for analysis.</t>
  </si>
  <si>
    <t>08b464df8ef314726634cf74596c8584</t>
  </si>
  <si>
    <t>The aim of this study is to share interdisciplinary reflections on collective health conducted in the Collective Health discipline at the undergraduate level of a higher education institution in Rio Grande do Sul. This is a descriptive, exploratory and qualitative research, with forty and five students from the Collective Health discipline as participants. Data collection occurred through the performance of a concept map activity, being analyzed with approximations of Bardin's Content Analysis (2016). It was found that students understand the importance of collective health in their training contexts, inferring about important aspects identified in mental maps. The articulations between collective health and secondary themes stimulated the construction of effective and constructive problematizations about the theme with emphasis on interdisciplinary practices. Thus, the study enabled the exchange of information and comprehensive reflection on public health and the interdisciplinary performance of students.</t>
  </si>
  <si>
    <t>1b97ba685ac3a971f21d6e621137f7d3</t>
  </si>
  <si>
    <t>The way individuals perceive their risk to certain threats influences their adoption of preventive behaviour. This study explored sex workers perception of risk of HIV infection within the context of other serious threats. The study was carried out in Kampala Uganda using peer ethnography. Sex workers were well aware of their risk of HIV infection but this risk was eclipsed by other more immediate and frightening threats. Sex workers willingness to gamble with HIV is explained by the fact that their existence is already very dangerous and taking risks is an inherent part of their trade. Decriminalising sex work could make their lives somewhat safer motivating them to better protect themselves but this is unlikely to happen in Uganda. Attempting to enforce some coercive control mechanisms would not work given the pervasive corruption in law enforcement and the judiciary the institutions that would be responsible for implementing such control.</t>
  </si>
  <si>
    <t>corruption in law enforcement</t>
  </si>
  <si>
    <t>0f42f1b1a419898dec65bcb8c0721709</t>
  </si>
  <si>
    <t>International law relating to child soldiers is of recent origin. As far as universal instruments are concerned, the Child Soldiers Protocol is compared to Article 77(2) of the first Additional Protocol to the Geneva Conventions, Article 4(3)(c) of the second Additional Protocol to the Geneva Conventions, Articles 38 and 39 of the Convention on the Rights of the Child, Articles 8(2)(b)(xxvi) and (e)(vii) of the Rome Statute of the International Criminal Court and Article 3 of ILO Convention No 182 on the worst forms of child labour. In 1989, provisions on children in armed conflicts were incorporated into the 1989 Convention on the Rights of the Child (CRC). This international human rights instrument is ratified by all States except the United States and Somalia.Keywords: child labour, Child Soldiers Protocol, CRC, Geneva Conventions, Universal instruments</t>
  </si>
  <si>
    <t>02d363218ca98431f0b98e877a86a3fe</t>
  </si>
  <si>
    <t>This article considers the dilemma that constitutional judicial review presents to the most well-meaning of judges — that of navigating the narrow and difficult road between parliamentary supremacy and judicial oligarchy. It examines the Singapore Court of Appeal’s delineation of legal and extra-legal considerations in view of Ronald Dworkin’s theory of adjudication in determining the constitutionality of section 377A of the Penal Code in Lim Meng Suang v. Attorney General. It proposes an alternative natural law approach to constitutional judicial review based on Radbruch’s formula, which helps courts to avoid the pitfalls of judicial idiosyncrasies and usurpation of legislative mandate while staying true to constitutionalism.</t>
  </si>
  <si>
    <t>d127943159e0c470639f136d22059a04</t>
  </si>
  <si>
    <t>Humanity is radically and pervasively interdependent. Catholic social teaching uses solidarity as the lens through which to critically examine our interdependence. Solidarity is multifaceted, at once a feeling, an attitude, and a duty, with each of these building to culminate in the virtue. How is solidarity a virtue? What are the habits and practices by which it is cultivated? To whom does it apply? And what, if any, are corresponding vices? This article proposes that solidarity is both an individual virtue and a social virtue. By offering an examination of the anatomy of this social virtue, this article will propose the scope and boundaries of solidarity, corresponding sets of vices for this virtue, and the cultivation of this virtue by communities through practicing respect for human rights.</t>
  </si>
  <si>
    <t>751c0b1bbc667b3ffff6904e4ade5c5c</t>
  </si>
  <si>
    <t>In considering the morality of public policy, including child protection policy, one must go beyond the logic of the content underlying moral judgments. It is at least as important to discuss the breadth of the circle of care—the scope of application of norms of human dignity, as illustrated by human rights law. In essence, we must exercise due care in determining not only what human decency demands but also to whom the Golden Rule applies. This point was vividly illustrated by the Trump administration’s barbaric policy of separation of parents and children as a deterrent to illegal immigration to the United States. In building more sensible and sensitive child protection policy, we must remain vigilant in affirming the humanity of children in general and, in particular, those who live in exceptionally difficult circumstances or whose families are in groups especially vulnerable to injustice.</t>
  </si>
  <si>
    <t>091c39c369470d37b3b81c7f8ecc328f</t>
  </si>
  <si>
    <t>Not since the civil rights era has enacted national legislation been fought so fiercely as the Patient Protection and Affordable Care Act. Political, ideological, and social forces have mobilized to undermine the ACA at numerous fronts, including the Supreme Court, Congress, state governments, and the court of public opinion. The ACA has survived a constitutional challenge, a presidential re-election, numerous repeal votes in the House, and avowedly obstreperous state regulators. But it has not yet run the full gauntlet of lethal strategies. The latest line of attack is a collection of orchestrated lawsuits seeking to keep the federal exchange from paying any premium tax subsidies.        What if the challengers eventually prevail? What would happen then?</t>
  </si>
  <si>
    <t>fe4b55f8505c4d4dc6f3e64707fa4516</t>
  </si>
  <si>
    <t>The chapter traces the development of the international response to the pandemic of HIV/AIDS from the designation of the World Health Organization (WHO) as “lead agency” in the late 1980s to the emergence of a variety of public-private partnerships from the 1990s onwards. This trajectory is related to general trends in global public health governance. Existing partnerships in the field of HIV/AIDS are described and typified. Finally, the legitimacy and democratic qualities of today’s global governance arrangements in the fight against AIDS are discussed in terms of coordination, representation and accountability.</t>
  </si>
  <si>
    <t>global governance</t>
  </si>
  <si>
    <t>7804307be23c67acc701ff1706e922f7</t>
  </si>
  <si>
    <t>The impact of corporate governance on banking firms has been widely documented in the literature. Noticeably absent is an extensive examination of the impact of country governance on the efficiency of banking firms. This limitation is surprising, given the fact that the banking sector remains the most important channel for savings and allocations of credit in the economy. By using data on 454 Islamic and conventional banks from 19 countries offering Islamic banking and finance products and services, this chapter attempts to fill this demanding gap. We find that voice and accountability positively influence the efficiency of both Islamic and conventional banks. On the other hand, we observe the negative impact of political stability, absence of violence and control of corruption. The findings indicate that government effectiveness, regulatory quality and rule of law negatively influence the efficiency of conventional banks, but not so in the case of Islamic banks.</t>
  </si>
  <si>
    <t>be811285102a5001690bf33d8f907915</t>
  </si>
  <si>
    <t>This chapter explores the theoretical critiques that environmental politics attracted since the 1990s onward. Among them, building upon political ecology critique, post-environmentalist theory gained a prominent role and claimed that green diplomacy, business, and large NGOs determined a de-politicization of environmental issues in the pursuit of establishing a widespread consensus on the mainstream strategies for global environmental governance. The origins and development of post-environmentalism are described in the chapter, with particular attention devoted to the differences between the realist perspective of US scholars (most notably Michel Shellenberger and Ted Nordhaus, authors of the pamphlet “The Death of Environmentalism”) and the European scholars, advancing a constructivist interpretation of the end of environmentalism under the name of post-ecologism.</t>
  </si>
  <si>
    <t>4d3bec269efa8c93a5f901b95d5642af</t>
  </si>
  <si>
    <t>In July 1963, students from Queens College (QC) and a group of New York City teachers traveled to Prince Edward County (PEC), Virginia, to teach local black youth in Freedom Schools. The county had eliminated public education four years earlier to avoid a desegregation order. PEC Freedom Schools represented the first major effort to recruit an integrated group of outside teachers and students to educate black students in a civil rights battleground over an entire summer. In contrast to the racial and class tensions that arose between black leaders and predominantly white volunteers in other civil rights campaigns, PEC volunteers willingly deferred to the expertise of local and outside black leaders. This paper identifies the relatively modest scope and well-defined mission of the program, the real-world experiences of volunteers, and the high quality of black leadership as factors that led to this positive outcome.</t>
  </si>
  <si>
    <t>f3306b27fd3c295efb4fd1978580e818</t>
  </si>
  <si>
    <t>This article considers recognition and enforcement of orders of the Family Division of the High Court varying a trust, or declaring it to be a sham and the assets held for its settlor, where the trustee and trust property are located outside the court’s jurisdiction. This will depend on private international law principles in the trustees’ home jurisdiction, which, assuming the trustee is not based in a Brussels Regulation or Lugano Convention State, are likely to be based on, and similar to, common law principles applicable in England and Wales, which is the focus of this article.</t>
  </si>
  <si>
    <t>589dcd3f6e3e218ea7a4bee972390af2</t>
  </si>
  <si>
    <t>Sociological approaches to the social control of sickness have tended to focus on medicalization or the process through which social phenomena come to be regulated by medicine. Much less is known about how social problems historically understood as medical come to be governed by the criminal law, or what I term the "criminalization of sickness." Thirty three US states have enacted criminal statutes that require all HIV-positive individuals to disclose their infection before engaging in a wide range of sexual practices. Drawing on evidence from 58 felony nondisclosure convictions in Michigan (95% of all convictions between 1992 and 2010), I argue that the enforcement of the state's HIV disclosure law is not driven by medical concerns or public health considerations. Rather, it reflects pervasive moralizing narratives that frame HIV as a moral infection requiring interdiction and punishment.</t>
  </si>
  <si>
    <t>6604792bc4a450288f45a62a0cfdbf2d</t>
  </si>
  <si>
    <t>While a number of scholars argue that classical realism is conspicuously similar to critical international relations, this article takes an issue with such an interpretation. It does not challenge the observation that both approaches are comparable when it comes to ethical concerns and a related critique of modernity, but it puts forth an argument that they differ fundamentally when it comes to their basic intellectual motivation and purpose. This also makes classical realism more ready to formulate normative judgment. To articulate what provides for the ethical impetus in classical realism, the study turns to the work of Stephen Turner and his collaborators who illuminate Weberian sources of classical realist social science. Adopting the category of analyticism from Patrick Jackson, it further puts forth that normative judgment is linked to classical realism’s inherent ontological doubt, a feature it compensates for by focusing on epistemology necessitating constant engagement with empirical reality as a...</t>
  </si>
  <si>
    <t>e0368a0942295acb5fb7f58398437a5e</t>
  </si>
  <si>
    <t>Modern constitutional law has developed various means of supervising and guaranteeing the effective implementation of the constitution. The principal means of judicial control of constitutionality is judicial review of the constitutionality of legislation enacted by Parliament, or constitutional judicial review. This has become a dominant feature of modern constitutionalism, and recent decades have seen a global expansion of such judicial review mechanisms. This article considers the phenomenon and institution of constitutional judicial review from historical and comparative perspectives. The different models, structures and forms of constitutional judicial review are discussed with reference to the historical contexts in which they have evolved, their modes of operation and their underlying rationales. The possible tension between constitutional judicial review and democracy is also considered.</t>
  </si>
  <si>
    <t>cc063ac157763a58e816353b5557e6a6</t>
  </si>
  <si>
    <t>Institutions require performance management system for themselves and their personnel to evaluate, benchmark, develop, and determine training needs in compliance with performance criteria as productivity, efficiency, and thriftiness. Contemporary public management, i.e., 5018 Public Finance Management and Control Act, adopting good governance principles as transparency, responsibility, accountability, and fairness, also attaches great importance to performance management. However, there is no performance management system employed by Turkish public management system. Therefore, performance audit is not performed. To this end, it is foreseen that perceptions of personnel be measured and survey be applied to a provincial unit of a public organization. Findings reveal that performance management is not supported by high-level management and is not related to human resource practices such as career management, training and development, job valuation, and a management style in compliance with good governance which is not adopted.</t>
  </si>
  <si>
    <t>483ea5a0bdeeeb857f35f42a39803403</t>
  </si>
  <si>
    <t>This article seeks to demonstrate the role that domestic criminal law could play in the regulation of transnational corporations for human rights abuses committed outside their jurisdiction of inco...</t>
  </si>
  <si>
    <t>7a3eb97ae4043c9f2a9481bf4db543ca</t>
  </si>
  <si>
    <t>Testimonies of wartime sexual violence contribute to the recognition of rape as a serious human rights violation. Although acknowledgement and justice are imperative to ending silence and impunity, this article critiques some commonly held therapeutic assumptions about disclosure through examining the way so-called “unspeakable” events are communicated through legal discourse. In this article, the author explores the inherent limitations of language for bearing witness to wartime rape, specifically focusing on international war crimes tribunals. The author argues that trials contribute to the impossibility of bearing witness through both the appropriation of trauma and the failure of law to accommodate traumatic experiences.</t>
  </si>
  <si>
    <t>32dae308ac24cd9c174ab0fdd1504802</t>
  </si>
  <si>
    <t>Knowledge management (KM) remains an anomaly in most corporations today. Critics call KM a fad of the 1990s, whereas supporters claim KM is actively evolving. Our work examines the disciplinary rhetoric of KM: how is it that practitioners of KM seek to legitimize their field in the corporate world? We focus on practitioners in the aerospace industry and their forum. We argue that this forum serves as a hub for constructing KM's legitimacy. Our two year ethnography traces the rhetorical strategies utilized by informants in and out of a professional community to legitimize KM as discipline in the aerospace industry.</t>
  </si>
  <si>
    <t>380a31d395c465785f9e1f0d09060925</t>
  </si>
  <si>
    <t>Based on accounts gathered from nine museums and four professional/policy-making bodies, as well as policy analysis, this article maps out and assesses the effects of and ways of experiencing the new managerialist mode of governance within the publicly funded museums in England, focusing specifically on performance management in museums. It will be argued that the performance management regime has impacted local authority museums and national museums in distinct ways, creating different professional/organisational cultures as a result. These impacts pertain specifically to the professional and organisational autonomy of museums, with significant differences between small local authority museums and large national museums. This has serious implications for the way different types of museum relate to new managerialism and their mode of functioning. Some of the negative and unintended impacts of the performance management regime have induced a reappraisal – initially championed by the art world – and a move ...</t>
  </si>
  <si>
    <t>904876940d548e70de9658ba9332ca37</t>
  </si>
  <si>
    <t>Economic theory suggests that the enhanced product market competition of deregulation reduces employers' ability to discriminate when hiring. Recent studies of the effect of deregulation on racial employment in the naturally competitive trucking industry find that deregulation increased minority employment. This study examines the effect of deregulation on racial employment in the airline industry. Because deregulation transformed airlines from wasteful service competition to rigorous price competition, deregulation's effect on racial hiring in this continuously competitive industry is not apparent. This study finds that deregulation only modestly changed the racial composition of major airline occupations, which suggests that the change in market structure as a result of deregulation may largely determine the effect of regulatory reform on the racial composition of an industry. © 2001 by the Association for Public Policy Analysis and Management.</t>
  </si>
  <si>
    <t>deregulation = good governance?</t>
  </si>
  <si>
    <t>08ee630308e81b34a2add6ea4ba517fa</t>
  </si>
  <si>
    <t>Starting from the position that officer accountability is a core value of American constitutionalism, this article reassesses MARBURY V. MADISON in light of the indictable acts connected to the nondelivery of Marbury’s commission. First, it reads Chief Justice Marshall’s opinion against the background of personal and political hostility among the principals, including between Marbury and President Jefferson. Second, it identifies avenues of further redress open to Marbury before and after the Supreme Court’s refusal of the mandamus order, and it considers why they were not pursued. Finally, having identified alternative procedural traditions on which Marshall could have drawn, and reviewed decisions by state and federal judges in analogous suits against officers, it concludes that MARBURY'S deepest contribution was to elevate the principle of jurisdiction over the imperative of remedy in constitutional decision making.</t>
  </si>
  <si>
    <t>the case is about judicial control</t>
  </si>
  <si>
    <t>7655d639460cd74ecd3df13fd6909b04</t>
  </si>
  <si>
    <t>ABSTRACTThere has been a recent emergence of scholarship on the use of fun in the college statistics classroom, with at least 20 modalities identified. While there have been randomized experiments that suggest that fun can enhance student achievement or attitudes in statistics, these studies have generally been limited to one particular fun modality or have not been limited to the discipline of statistics. To address the efficacy of fun items in teaching statistics, a student-randomized experiment was designed to assess how specific items of fun may cause changes in statistical anxiety and learning statistics content. This experiment was conducted at two institutions of higher education with different and diverse student populations. Findings include a significant increase in correct responses to questions among students who were assigned online content with a song insert compared with those assigned content alone.</t>
  </si>
  <si>
    <t>0cc41f470f8da785601105eb176947a8</t>
  </si>
  <si>
    <t>This study examines whether subject-specific teacher certification and academic degrees are related to teacher quality. The research design exploits contemporaneous, within-student comparisons made possible by a unique feature of the National Education Longitudinal Study of 1988 (NELS:88). Specifically, NELS:88 contains subject-specific outcomes for eighth-grade students in two subjects as well as data on their teachers for those subjects. The analysis of these data indicates that assignment to a subject-certified teacher is associated with higher test scores. However, these gains appear to be concentrated in social studies and mathematics. Furthermore, the authors also find that subject-certified teachers are not more effective at promoting the intellectual engagement of their students but are more likely to have negative opinions of a given student's performance.</t>
  </si>
  <si>
    <t>9824891b518f94ef81609428bbeb603e</t>
  </si>
  <si>
    <t>Violators of the criminal laws can be found in all age categories, including those defined as elderly offenders (65 and older). Older offenders have been convicted of almost all of the same types of crimes as those in other age categories, including violent crimes, such as murder, rape, armed robbery, and aggravated assault, property crimes, such as theft, destruction of property, and fraud, and crimes generally associated with organized crime or white-collar crime, such as extortion, money laundering, bribery, and corruption as well as being convicted of public order crimes, such as public intoxication and loitering. The severity of the crimes of the older offenders ranges from the most serious felony crime, such as aggravated murder, to minor misdemeanor crimes, such as petty theft. Many, perhaps the majority of older offenders, are situational offenders, while others are considered chronic or habitual offenders.</t>
  </si>
  <si>
    <t>63f6e6c72e23fab729adea973b8ff281</t>
  </si>
  <si>
    <t>Whereas the literature on the democratic peace tends to treat the phenomenon as a causal law, we follow Immanuel Kant in interpreting it as a macro-historical process that expanded from a small number of democracies to about 50% of all states. In order to account for this development, we introduce an agent-based model that combines a natural-selection logic with an adaptive mechanism of regime change. The latter is implemented as an empirically calibrated, contextual rule that prompts democratization as an S-shaped function of the democratic share of a state's immediate neighborhood. A similar transition rule governs regime change in the opposite direction. The computational results show that regime change and collective security are necessary to produce realistic trajectories of democratization at the systemic level.</t>
  </si>
  <si>
    <t>f75fad302ddc87e7fe415bac7d57cd30</t>
  </si>
  <si>
    <t>The text aims to reflect the experience of being a scholarship student in the discipline of nursing management in health services II, in the Undergraduate Program in Nursing at the University of Santa Cruz do Sul – UNISC. This discipline occurs in the seventh semester of the course, being held in a Basic Public Health Unit. Practice happens in groups of six to eight students and during the same period of time there are related themes which are developed in the classroom. This method helps professors and students, allowing them to observe and interact on the way of organizing and managing the Basic Health Unit, in order to be able to collaborate with the necessary improvements. We conclude that it contributes with the professional formation of the student scholarship and academic, guiding him/her to a more comprehensive look at management and decision making in developing health policy</t>
  </si>
  <si>
    <t>9a31ff362bdb1fe8372c51018fcc1d74</t>
  </si>
  <si>
    <t>AbstractThis article examines opinions concerning fūfubessei (a married couple retaining their birth surnames) posted on an online forum. Recently, the topic of fūfubessei has once again come under a spotlight, since the Japanese Supreme Court upheld the constitutionality of the Civil Code Article 750, which stipulates that a married couple must choose either the husband's or wife's surname upon marriage registration. Owing to the large number of women forfeiting their surnames, the fūfubessei issue has often been researched from feminist perspectives, which may have hindered the voices of others. This article analyzes, using text mining (quantitative analysis) and discourse analysis (qualitative analysis), a large number of opinions from people of various cultural backgrounds. The results of this study reveal a diversity of beliefs and attitudes towards Article 750, reflecting the complexity of the issue. In general, proponents of reform claim the law violates equality, rights and liberty. From opponents...</t>
  </si>
  <si>
    <t>e188d5dad3ba9aebb5b8d4c5bfbc33f7</t>
  </si>
  <si>
    <t>How do strategies of state capture adapt to tight fiscal conditions? The article uses a historical institutionalist approach and content analysis to study the case of Greece. Three theoretically relevant patterns of institutional adaptation are unearthed: first, limited resources for state capture do indeed trigger self-limitation initiatives as expected, but these initiatives replace costly benefits with less costly ones. Second, different forms of capture have different implications for the terms of political competition. Third, there is a mutually reinforcing relationship between clientelism and corruption, which becomes pronounced in the creative ways by which strategies of capture adjust to shifting opportunities and constraints. Clients are appointed in state offices and extract bribes directly from citizens. ‘Client corruption’ replaces extraction from the state with extraction through the state, which is less costly for the public finances: the benefit the governing party gives to its clients is the ‘right’ to extract rents for themselves.</t>
  </si>
  <si>
    <t>bbc280f03b8d7d8a739cf06159f054c9</t>
  </si>
  <si>
    <t>The article delineates the shifting forms of minority governance that took shape after 1989 in solving Roma related affairs and its ambiguous effects on the ground. I argue that, after 1989, the new social and public policies adopted a more neoliberal trend in solving Romani affairs through processes of decentralization, public-private partnerships and mobilization of civil society (Roma) organizations as key tools for empowering and social inclusion of Romani communities, abandoning old governmental programs focused on discipline, control and policing. However, as we will see in the Romanian case, these processes and policies had ambiguous effects and often have gone together with a diminishing of democratic accountability and control of Roma related affairs by state/public institutions and with the devolution of responsibilities to non-governmental and human rights organizations, Roma representatives from public institutions and communities themselves (see also van Baar 2011a).</t>
  </si>
  <si>
    <t>4c24d10bf89421e4c9cd7d015fb07313</t>
  </si>
  <si>
    <t>The first part of the chapter focuses on the legislative measures taken by the Coalition to restore civil liberties, notably under the Protection of Freedoms Act 2012. While some of the most-criticised measures taken by the New Labour governments have been repealed or limited, it is argued that these changes do little to protect civil liberties. Indeed, the latter are endangered by the as-yet unrealised promise to repeal the Human Rights Act and, most significantly, by the extensive surveillance powers of the British government and its allies (both political and corporate) which seriously threaten the right to privacy. The second part of the chapter focuses on crime prevention measures, concluding that very little has changed in practice since the New Labour years.</t>
  </si>
  <si>
    <t>1addd30d8ae8410c274243bc563613af</t>
  </si>
  <si>
    <t>Crime, terrorism and security are in the forefront of current societal concerns. This edited volume presents research based on social network techniques showing how data from crime and terror networks can be analyzed and how information can be extracted. The topics covered include crime data mining and visualization, organized crime detection, crime network visualization, computational criminology, aspects of terror network analyses and threat prediction including cyberterrorism and the related area of dark web, privacy issues in social networks, security informatics, graph algorithms for social networks, general aspects of social networks such as pattern and anomaly detection, community discovery, link analysis and spatio-temporal network mining. These topics will be of interest to researchers and practitioners in the general area of security informatics. The volume will also serve as a general reference for readers that would want to become familiar with current research in the fast growing field of cybersecurity.</t>
  </si>
  <si>
    <t>2e6107a7c627589a4fa445071469709f</t>
  </si>
  <si>
    <t>Freedom of the press in the perspective of the criminal justice is the use of the provisions of the Criminal Code, it is not limitation or restraint on freedom of the press, because the provision was only a tool that is used for the testing of limitative conduct a press working process. Testing can be done by using specific parameters as stipulated in the convention on the freedom of information, such as the press can not be prosecuted in criminal law except when to do positive things like contempt, sedition, blasphemy, pornography, a lie news, disturb national security and public order and statements that impede the fair administration of justice. Therefore, in press freedom, presenting news must be based on features news journalist code of ethics that exist</t>
  </si>
  <si>
    <t>8482e6a680b1fc5cdcc37da236ecfd86</t>
  </si>
  <si>
    <t>ABSTRACT Since intellectual property rights (IPRs) and services were introduced to the international trade regime, state regulation on development sensitive issues such as access to education and medicines is directly affected by multilateral and bilateral trade agreements. By adopting a global governance analytical approach to trade politics and a comparative research strategy, the article shows, on the one hand, how national positions on trade in education and IPR have been defined, coordinated and contested in developing contexts and, on the other, the implications of these trade policies on a range of scales. Case studies in Argentina, Peru, Chile and Ecuador will enable us to discuss, on the grounds of extensive primary empirical data, how the apparent conflict between development and liberalization principles is being managed in free trade agreements in Southern countries, and with what outcomes.</t>
  </si>
  <si>
    <t>63c9a019c9f184d1053d345ef97701c0</t>
  </si>
  <si>
    <t>The COVID-19 pandemic forced higher education institutions to reexamine their modes of instruction for the Fall 2020 semester. Some institutions chose to re-open for in-person instruction, others chose online or hybrid modalities. While it is assumed that institutions took into account public health concerns when making the decision on how to reopen, other factors may have played a role. Leveraging mode of instruction data for 2,938 colleges and universities, this paper examines the political, epidemiological, economic, and social factors related to Fall 2020 reopening plans. Surprisingly, it finds no discernible relationship between that county-level or state-level COVID-19 case counts and college or university reopening plan. Furthermore, campus demographics - such as White student enrollment - and state political characteristics - such as Governor's party - were related to campus mode of instruction decisions for the Fall 2020 semester.</t>
  </si>
  <si>
    <t>cb6ea4d1ce84190533e240732130087b</t>
  </si>
  <si>
    <t>This article examines two key components of the Australian Government’s data surveillance framework and critiques their impact on journalistic confidentiality. The 2015 mandatory data retention scheme and the 2018 telecommunications industry assistance scheme have been the subjects of considerable controversy and ongoing parliamentary reviews. The combined effect of these provisions is that journalists are unable to confidently fulfil their ethical obligation to maintain source confidentiality. The article recommends targeted reforms to more explicitly and appropriately balance the public interest in journalistic confidentiality (and relatedly, democracy, public accountability and the rule of law) against law enforcement and national security objectives.</t>
  </si>
  <si>
    <t>c92697a43755b16eba1c7b3b2bfc0cc7</t>
  </si>
  <si>
    <t>Immigrants perform better in import/export industries than generally in independent business. The usual explanation addresses their overseas social networks. Extensive network connections abroad enable immigrants to reduce the daunting transaction costs that otherwise bedevil SMEs in international trade. Accepting that prevailing view, this research obtains evidence regarding the actual social network ties that Iranian immigrant entrepreneurs in Los Angeles had with trading partners abroad. However, instead of looking at connections between the Iranians and their homeland, we examined instead their social connections with other locations in the Iranian international diaspora. Although preliminary and sketchy, this evidence tends to confirm the importance of personal social contacts abroad, but it also shows that Iranian traders still reported many collection problems overseas and, as a result, had undertaken legal strategies of self-protection.</t>
  </si>
  <si>
    <t>5cf141d14a9182b9351776dd052a7826</t>
  </si>
  <si>
    <t>What are the ethical implications of the shortcomings of liberal peacebuilding operations? This article addresses the problem by investigating the normative premises of liberal peacebuilding and its critics. Three ideal types of peacebuilding are singled out to illuminate the normative logic of current ‘revisionist’ proposals. These are: ‘re-liberal peacebuilding’ which prescribes a more coercive approach, ‘social peacebuilding’ that emphasizes local agency and the promotion of socioeconomic rights, and ‘multicultural peacebuilding’ that roots peace in indigenous norms and institutions. These alternatives are assessed with regard to their ability to promote both the autonomy and the basic needs of the affected population. It is concluded that only ‘social peacebuilding’ passes this test. It exemplifies a model of global governance where a cosmopolitan human rights agenda is consistent with the communitarian defence of political autonomy and cultural diversity.</t>
  </si>
  <si>
    <t>4f85002bd860cfef078e83dcb0e1a614</t>
  </si>
  <si>
    <t>In October 2015 Uruguay was elected as a Non-Permanent Member of the United Nations Security Council. This article analyses the messages of the Uruguayan government during the process of its investiture. The objective is to offer an analytical description of the discourses made by Uruguayan government officials before the designation. For this purpose, a new analytical tool is applied, which consists of the operationalization of the General Principles of International Law. It is found that the Uruguayan discourse privileges the international cooperation that focuses on human rights, multilateralism, and the involvement in Peacekeeping Operation. Additionally, it is found that the membership is a tool used by the government to seek agreements with the political opposition.</t>
  </si>
  <si>
    <t>bc1ca450c1d94031263f298200580757</t>
  </si>
  <si>
    <t>This article places the theorization and analysis of hydro-hegemony in the context of the scholarship on transboundary water conflict and cooperation. We discuss critiques, developments, and debates in this domain over the past 10 years, focusing particularly on the contributions of the London Water Research Group, showing how thinking on the theorization and analysis of hydro-hegemony—and hydropolitics—has moved beyond the state-centricity, the tendency to see hegemony as solely negative, and the conceptually hegemonic potential of hydro-hegemony itself. Various strands of international relations theory (realism, neo-institutionalism, critical theory) have left their mark on the London School. Intense interaction between analysts and pragmatic practitioners is found to invite (or incite) eclecticism as well as promote vibrancy.</t>
  </si>
  <si>
    <t>c6ac49fd2d250a4593c5f948aff3bff0</t>
  </si>
  <si>
    <t>Birth registration is becoming an important arena of political mobilisation for human rights. Discourses about civil registration advanced in the civil society and academic circles tend to frame birth registration in citizenship terms, arguing that (a)Â a birth certificate is indispensable in realising the childâ€™s right to a name, nationality and citizenship, and (b)Â both the delay in registering and failure to register a childâ€™s birth compound the social exclusion of that child. However, narratives that connect birth registration and social exclusion in a causal relationship are seldom premised on empirical evidence. Drawing on qualitative key informant interviews, this article examines how non-birth registration relates to social exclusion of children. Participantsâ€™ narratives generated in Zimbabweâ€™s Bindura District revealed that non-birth registration is entangled with multiple dimensions of social exclusion, potentially giving rise to marginalisation of children in various spheres of society.</t>
  </si>
  <si>
    <t>df7ffbc920ea30c329c8031ee642962c</t>
  </si>
  <si>
    <t>This chapter places the fundamental principles of civil justice under four headings: (1) regulating access to court and to justice, (2) ensuring the fairness of process as a shared responsibility of the court and the parties, (3) maintaining a speedy and efficient process, and (4) achieving just outcomes. It shows how Article 6(1) of the European Convention on Human Rights, now directly applicable in English courts through the Human Rights Act 1998, has contributed to the development of these principles. Among topics covered are: duty to give a reasoned judgment, abolition of the House of Lords (Judicial) and creation of the United Kingdom Supreme Court, the striking out procedure, legal advice privilege and in house counsel. It places the ALI/UNIDROIT Principles of Civil Procedure within this framework as best practices.</t>
  </si>
  <si>
    <t>51c78c35876b8ae1987d7015f00c3cad</t>
  </si>
  <si>
    <t>From the analysis of the reasons in the The Gambia v. Myanmar case, which discusses in the International Court of Justice the application of the Convention on the Prevention and Punishment of the Crime of Genocide, in the face of the genocidal acts against the Burmese Rohingya, attributable to the government of Myanmar, this paper supports the hypothesis that there would be a certain influence of the Ubuntu philosophy in Gambia’s decision to refer the case to international justice. The values inherent in Ubuntu, such as the need to promote justice, peace and interdependence among human beings universally, would be able to explain, at least in part, both Gambia’s transcontinental empathy for the Rohingya people and the reasons why the country mobilized resources to bring the debate about the genocide of that people to the jurisdiction of the ICJ, even though the case did not directly affect their sovereign interests.</t>
  </si>
  <si>
    <t>b22219b08e1af7ccbefcb7985bae829d</t>
  </si>
  <si>
    <t>The approach of ethics from the perspective of epistemic autonomy comes to bring together the professional concerned with the ethical reflection on his own practice and his own epistemological, ethical and ethical horizon, with those of the professional ethic who are addressing the ethical significance of practice in the various fields of social research, no more. This editorial proposes a number of directions of interest in the field of ethics in social science research, as the preferred domains, without being exclusive to the on-going Journal of Ethics in Social Studies.</t>
  </si>
  <si>
    <t>49927e1f9df77a5acbc3147be006fa2f</t>
  </si>
  <si>
    <t>Ethical leadership, decision making, legitimacy, and public trust are underlying themes throughout most emergency and crisis management case studies. Disasters are complex and dynamic, and often te...</t>
  </si>
  <si>
    <t>8fdfed098841293945ca0fc4b169bfa7</t>
  </si>
  <si>
    <t>In this article, we seek to advance scholarship on the origins and consequences of policy devolution by analyzing state decisions to give local authorities control over welfare policy. The first part of our analysis explores the political forces that systematically influence state decisions to cede policy control to lower-level jurisdictions. In this context, we propose a general Racial Classification Model of how race influences social policy choice. Our findings support this model as well as social control perspectives on welfare provision. Building on these results, we then show how modest but consistent racial effects on policy choices concatenate to produce large disparities in the overall policy regimes that racial groups encounter in the federal system. The empirical findings illuminate the fundamental role that federalism plays in the production of contemporary racial disparities and in the recent turn toward neoliberal and paternalist policies in American poverty governance.</t>
  </si>
  <si>
    <t>24ddd51c750f70b03503e18a1337c3bb</t>
  </si>
  <si>
    <t>The article defines the fundamental right to petition in the Chilean legal system, considering its constitutional and Human Rights International Law sources, and focuses in the analysis of its poor regulation of the legislative development of said right, outside of the specific field of the government and its agencies.</t>
  </si>
  <si>
    <t>089e98873261b350591b97bd13010cc8</t>
  </si>
  <si>
    <t>The minimalist approach of the United Nations Convention on the Law of the Sea (1982) (“UNCLOS”), a 163 member multilateral treaty sometimes known as the ‘constitution of the oceans,’ and in relevant respects, reflective of customary international law of the sea, allows for strong anti-immigration territorial sovereignty arguments in contravention of its rescue provisions. Because of the perceived need to tighten border security, and the actions of some European States to close borders entirely, it is necessary to reassert the binding nature of these rescue provisions in their traditional construction, as defined by their historical origins, to prevent wrongful infringement of the customary law of the sea’s duty to rescue.</t>
  </si>
  <si>
    <t>a81a92cb20f10e5529366cca258101a7</t>
  </si>
  <si>
    <t>In recent years, design approaches to policymaking have gained popularity among policymakers.  However, a critical reflection on their added value and on how contemporary ‘design-thinking’  approaches relates to the classical idea of public administration as a design science, is still lacking.  This introductory paper reflects upon the use of design approaches in public administration. We  delve into the more traditional ideas of design as launched by Simon and policy design, but also  into the present-day design wave, stemming from traditional design sciences. Based upon this we  distinguish between three ideal-type approaches of design currently characterising the discipline:  design as optimisation, design as exploration and design as co-creation. More rigorous empirical  analyses of applications of these approaches is necessary to further develop public administration  as a design science. We reflect upon the question of how a more designerly way of thinking can  help to improve public administration and public policy.</t>
  </si>
  <si>
    <t>1b7ad33f6cc1f571f25f1a908ceb0ab2</t>
  </si>
  <si>
    <t>Abstract   Climate change poses a significant risk for communities, and local governments around the world have begun responding by developing climate adaptation policies. Scholarship on local adaptation policy has proliferated in recent years, but insufficient attention has been paid to operationalization of the unit of analysis, and methods employed are typically inadequate to draw inferences about variation across cases. This article seeks to contribute to the conceptual and methodological foundations of a research agenda for comparative analysis of local adaptation policies and policy-making. Synthesizing insights from policy studies literature and existing adaptation research, the article identifies and operationalizes two aspects of public policy—policy content and policy process—which are salient objects of comparative analysis that typically vary from one community to another. The article also addresses research design, outlining a comparative case study methodology that incorporates various qualitative analytical techniques as the vehicle to examine these policy elements in empirical settings.</t>
  </si>
  <si>
    <t>weak link</t>
  </si>
  <si>
    <t>75e0da334986a894eb41b33b0892e7db</t>
  </si>
  <si>
    <t>Administrative data from North Carolina are used to explore the extent to which that state's relatively sophisticated school-based accountability system has exacerbated the challenges that schools serving low-performing students face in retaining and attracting high-quality teachers. Most clear are the adverse effects on retention rates, and hence on teacher turnover, in such schools. Less clear is the extent to which that higher turnover has translated into a decline in the average qualifications of the teachers in the low-performing schools. Other states with more primitive accountability systems can expect even greater adverse effects on teacher turnover in low-performing schools. © 2004 by the Association for Public Policy Analysis and Management.</t>
  </si>
  <si>
    <t>f30f831f54a31c39569c95c499d510c6</t>
  </si>
  <si>
    <t>The proliferation of large biorepositories and the staggering advances in our ability to analyse large numbers of human genomes relatively quickly and cost-effectively have been important drivers in the move towards personalised medicine. However, our advances in the development of these tools have outstripped our performance in addressing the issues of ethics and consent surrounding health policy and governance of such repositories, the implications of proliferation of genomic information for the individual and its potential for misuse. Public consultation is urgently needed in the development of ethical guidelines for these emergent issues, however, effective strategies for facilitating community engagement and informed debate have been lacking. Public consultation through deliberative democracy is bringing an essential new dimension to public engagement in the genomic medicine era.</t>
  </si>
  <si>
    <t>4b7bb836ce260d83035e1cddbea6c891</t>
  </si>
  <si>
    <t>Abstract Through a review of the scholarly and non-governmental organization (NGO) literature, this paper seeks to contribute to an emergent dialogue on the cultural citizenship of children in art museums. A comprehensive search of the current literature on this topic reveals a paucity of attention and understanding in this area, despite an increasing focus on children's services in art museums. In order to bridge this gap, the United Nations' Convention on the Rights of the Child (CRC) is highlighted as an international vehicle for entrenching the participatory rights of children in cultural life and the Arts from birth. Lundy's model for participation based on ‘space, voice, audience and influence’ is interpreted for an art museum setting. Promoting children's cultural rights shapes museums into more democratic institutions, thereby activating the public art museum's founding principles.</t>
  </si>
  <si>
    <t>77dbe6bce81475ae0b38270776fe8eb1</t>
  </si>
  <si>
    <t>Abstract This paper is a critique of the final report of the South African Human Rights Commission, Faultlines, on its inquiry into racism in the media. The critique builds on earlier comments by the author which fundamentally question the assumptions made by the SAHRC's independent researchers regarding discourse analysis, content analysis, as well as cultural and media studies. The paper also offers some educational strategies to deal with the real problems still facing the media in the post‐apartheid era. It calls for a participatory research agenda between academics and the media industry in resolving pressing issues of social concern.</t>
  </si>
  <si>
    <t>f85c3316dbd5971e92b1d82bb0d4e64d</t>
  </si>
  <si>
    <t>The study examined the effect of e-government on service delivery in Federal University Ndufu-Alike Ikwo, Ebonyi State Nigeria. Descriptive research design was adopted to guide the study, two hypotheses were formulated and tested. Chisquare non-parametric statistics was used to test the hypotheses. The study revealed among other things that e-government has strong positive effect on service delivery by enhancing the performance of workers. This is because the use of ICT in work-relate activities reduces waste of time, delays and mistakes on the part of workers in the discharge of their duties. Based on this, recommendations were made major among them is that the Institution should improve on the current ICT infrastructure and strategy and continue to improve on the internet access and digital divide among staff in order to continue achieving their organizational goals</t>
  </si>
  <si>
    <t>d33d064dcc07a1f9093220fa20933fb2</t>
  </si>
  <si>
    <t>In this article we argue that efforts in Indonesia to improve access to justice for the disadvantaged would greatly benefit from a pragmatic approach that takes local circumstances of custom, values and social relations into account at least as much as legal reform and bureaucratic transparency. We maintain that in post-Suharto Indonesia ‘justice’ can be conceptualised as the inverse of injustice and is manifested in terms of sovereign interests. Ideal justice, such as associated with rule of law implementing programs, assumes a functioning of government and judiciary that might bring about such results. Building on our own research as well as on the articles in this special issue we argue that engaging with the role and meaning of justice should involve solid ethnography of justice-seekers' life-worlds, understanding of the strategies and institutions that provide justice, and paying attention to the networks and interactions that connect actors in an ever moving field.</t>
  </si>
  <si>
    <t>0a4a16cf3cbb001c70d763cf7874ca13</t>
  </si>
  <si>
    <t>AbstractThis paper discusses the link between international migration and democratisation from an actor-oriented perspective on the basis of the mobilising efforts by key civil society actors engaged in the promotion of the rights of migrant workers through developing strategies towards movement building and by capitalising on political opportunities that have appeared on the global level. Being pitched at the global level and at organising patterns via the network form, the analytical framework developed takes as its starting point global justice perspectives and then builds upon insights from social movement and constructivist International Relations scholarship. It is argued that what is emerging are (1) movement practices in migrant rights networks which are putting forward increasingly coherent claims that transcend the conventional thinking about global governance and human rights (rights-assuming advocacy), and (2) that such practices are effectively transgressing interstate political arenas (parti...</t>
  </si>
  <si>
    <t>5e649b773afc81706defb2785b964987</t>
  </si>
  <si>
    <t>Islamist Politics have been cast as a geopolitical threat to ‘the West’, as antisystemic movements, and as part of the cacophony of post‐modern identity politics. This article takes a critical approach to the geopolitics of Islamism and the representational practices that have defined religio‐politics in relation to these various analytical categories. I argue that Islamist movements cannot be fruitfully analysed as primarily oppositional mobilisations. Such movements are not antisystemic as this term is usually understood, although they do pose a challenge to secularist categories. Furthermore, the scripting of social and new social movements works to close down spaces for religious politics, despite the apparent openings created by the post‐modern turn. Finally, I argue that the ways in which knowledge about Islamist politics has been constructed reflects the historical institutionalisation of secularist power in the post‐Enlightenment era. Through this discussion, my aim is to point towards an approach...</t>
  </si>
  <si>
    <t>conflict, politics</t>
  </si>
  <si>
    <t>b83fcb0ab6da78600dab0d02e897f85f</t>
  </si>
  <si>
    <t>The present article seeks to analyze the exchange Argentine-Brazilian trade in recent years And Chinese penetration in the region in order to Observe the future prospects of MERCOSUR And the necessary public policy options in Matter of international insertion, It stops at the Sectoral analysis of bilateral trade and Of displacement of regional production by Asian suppliers finding a drop in The last years in the share of exports Argentina to Brazil and vice versa, while There is an increase in Chinese participation In all sectors, except for the automotive. Faced with this, the questions arise: Is the greater liberalization And the flexibilization of MERCOSUR, The exit for the Argentine economy? Will it be possible By this way to recover markets in recoil Like the Brazilian? Or, on the contrary, the greater Regional regulation, as in the automotive case, Is the basis for sustaining a process of sustainable development?</t>
  </si>
  <si>
    <t>f00ab156c70ea131ba5308c9a7bf30eb</t>
  </si>
  <si>
    <t>In this paper, we present and test a theory of how political connectedness (often linked to political corruption) affects corporate governance and productive efficiency of firms. Our model predicts that underdeveloped democratic institutions that do not punish political corruption result in political connectedness of firms that in turn has a negative effect on performance. We test this prediction on an almost complete population of Slovenian joint-stock companies with 100 or more employees. Using the data on supervisory board structure, together with balance sheet and income statement data for 2000–2010, we show that a higher share of politically connected supervisory board members leads to lower productivity.</t>
  </si>
  <si>
    <t>2ef4a400eeb6a64e630f2d331b39cdea</t>
  </si>
  <si>
    <t>This paper examines the complex relationships between gender, education, extremism and security. After defining extremism and fundamentalism, it looks first at the relationship of gender to violence generally, before looking specifically at how this plays out in more extremist violence and terrorism. Religious fundamentalism is also shown to have gendered concerns. The paper concludes with drawing together the educational implications of these analyses, arguing for a politicised education to promote both national and personal security. Five components are proposed: acceptance of ambiguity rather than absolutism and single truths, a secular basis in human rights, breaking down ‘otherness’, reconciliation rather than revenge, and free speech and humour.</t>
  </si>
  <si>
    <t>violence</t>
  </si>
  <si>
    <t>1a889c380be07883b432d676b3789c0b</t>
  </si>
  <si>
    <t>Feminist environmentalism has become a significant intellectual and social policy force across fields as diverse as public health, political economy, philosophy, science, and ecology. Feminist environmental theory and activism together are challenging and redefining foundational principles, from animal rights to the environmental economy of illness and well-being, from global political economy to the role of Big Science as the primary arbiter of the state of the environment. Animal rights is one of the most intellectually challenging and innovative areas of intellectual activity and social activism, and within feminist environmentalism is one of the most radical subfields. This paper provides an overview of activity in this subfield, starting from the observation that feminist environmental scholarship and grassroots activism on animal rights pivot around three concerns: elucidating the commonalities in structures of oppressions across gender, race, class, and species, developing feminist-informed theorie...</t>
  </si>
  <si>
    <t>99c6b6088f9432400a510cdf9cb6570d</t>
  </si>
  <si>
    <t>Objective: The study's objectives were to characterize the participation of patients in nursing care and in choosing integrative and complementary therapies, and then to analyze this participation from the perspective of nursing care ethics. Method: Qualitative research conducted with patients receiving ICT in public health facilities where there are nurses to apply these therapies. Approved by the Institutional Review Boards of the facilities involved. The sensitive creative method and discourse analysis were used. Results: When the autonomy and participation of subjects were considered as citizenship issues, the discussion concerning their right to choose among services provided is resumed. The right as an ethical condition implies having appropriate access to information regarding different therapeutic possibilities, this depends on broadening the subjects' understanding and how they act upon the world and themselves. Conclusion: It is important not to lose sight of the ICT essence of integrality, its principles and purposes.</t>
  </si>
  <si>
    <t>I don't really understand</t>
  </si>
  <si>
    <t>8e0f3309350a2f76dd9e64bb86ae5491</t>
  </si>
  <si>
    <t>▪ Abstract The results of over 70 years of African Diasporic bioarchaeology are discussed and explained as emerging from distinct interests and traditions of African Diasporan studies, sociocultural anthropology, history, physical anthropology, and archaeology, in that chronological order. Physical anthropology is the core discipline of African-American bioarchaeology, yet it has been the least informed by cultural and historical literatures. Forensic approaches to bioarchaeology construct a past that fails to be either cultural or historical, while biocultural approaches are emerging that construct a more human history of African Diasporic communities. The involvement of African Americans, both as clients and as sources of scholarship, has begun to transform bioarchaeology as in the example of the New York African Burial Ground. The social history of the field examined here emphasizes the scholarship of diasporans themselves, and critiques a bioarchaeology that, until recently, has had little relevance t...</t>
  </si>
  <si>
    <t>61f37596a88dc70d6df7129b5e72841d</t>
  </si>
  <si>
    <t>Significant advances in science should be given to addressing the needs of society and the historical context of the territories. Although technological developments that began with modernity and the industrial revolution allowed human beings to control the resources of nature to put to your service without limits, it is clear that the crisis of the prevailing development models manifest themselves in many ways but with three common denominators: environmental degradation, social injustice and extreme poverty. Consequently, today should not be possible to think a breakthrough in the development of science without addressing global environmental problems and the deep social injustices that increase at all scales under the gaze, impassively in many occasions, of formal science. Article history:</t>
  </si>
  <si>
    <t>6baf0d4a2318c8b46c975eebe132a47f</t>
  </si>
  <si>
    <t>During the second half of the XVIII Century, close to the structural changes generated by the Borbons’ reforming institution, there appeared new social control mechanisms that tried to hold individuals so as to assign them a role within a circle of civil institutions with persuasive, preventive and and/or coercive character. Cordoba del Tucuman jurisdiction, the southernmost of the Empire at that time, was also subjected to the impositions of these mechanisms, implemented by its first Governor, Mayor Rafael de Sobremonte since 1785. This paper will enquire into the characteristics these mechanisms acquired as regards women in Cordoba del Tucuman under the goverment of Mayor Rafael de Sobremonte since 1785.</t>
  </si>
  <si>
    <t>2c84e07d8f65cb7d9e1b587c856d9720</t>
  </si>
  <si>
    <t>Scholars studying Sino-Russian relations point at the informal division of labour between Russia and China in global governance. Russia remains active in international security governance, whereas China has increased the level of its participation in areas of economic, financial and environmental governance. These differences are ascribed to the different potential of both states as well as their related varied scope of interests in a well-functioning global governance system. However, this division of labour has evolved for the past couple of years. Beijing increased its engagement with international security governance, while Moscow lost some of its (already limited) interest in such areas as environmental or economic governance. This chapter aims at exploring this shift and its implications. Rather than analysing Sino-Russian relations in distinct areas of global governance, it proposes a different approach and identifies three patterns of interactions between the two countries: direct cooperation, parallel activities and contradictory/divergent activities.</t>
  </si>
  <si>
    <t>fa73e4f96a967b283c905a5e5ec137c6</t>
  </si>
  <si>
    <t>Corruption has serious economic and social costs and can undermine government legitimacy. Economic analysis can help one understand the incentives for bribery and extortion and the deterrent effect of the law. Such analysis suggests that the law in many jurisdictions ought to be redesigned. Penalties are poorly tied to the marginal benefits of bribery. Small bribes often are more effectively deterred than larger ones because penalties are not tied to the perpetrators' gains. Economic analysis also highlights the tension between obtaining evidence to bring a case ex post and deterrence ex ante. Furthermore, enforcement programs have not incorporated bureaucratic structure in a sophisticated way, and in many countries the criminal law only applies to individuals, not firms. In short, economic analysis can help guide the reform debate by proposing workable law enforcement strategies for the control of bribery and extortion.</t>
  </si>
  <si>
    <t>909068429450ba5baaaa09e8e53d2703</t>
  </si>
  <si>
    <t>Freedom of expression is a definitional challenge because it is not easily definable. While “freedom” is the central issue, “expression” is relevant to what deserves protection. Free expression as a human right is not fully understood without its theoretical and conceptual framework. Given that freedom of expression is not absolute, free expression is balanced with its conflicting interests. Electronic media and internet law issues highlight the pervasive impact of new communication technologies on freedom of expression. This article identifies and examines various key legal issues, whether content or process related. While using an international and comparative law perspective, the entry notes American experience with freedom of expression as a possible point of reference for the world of the global twenty-first century.      Keywords:    censorship,  defamation,  first amendment,  freedom of information,  human rights,  journalist's privilege,  net neutrality,  prior restraint</t>
  </si>
  <si>
    <t>f2e26257b22c2f821e65d7c1640d9f19</t>
  </si>
  <si>
    <t>The right to oblivion, else known as right to be forgotten, has recently conquered the legal debate. The ‘proprietary’ or ‘control-based’ approaches on personal data, reflected in the current data protection mechanisms are unable to provide full protection under the rapid evolution of ICT. This article attempts to present the academic discussion on the proposed right and put forward a conceptual approach of the right to oblivion from a human-rights based perspective. An effective right to oblivion confirms the need for a paradigm shift in the traditional understanding of private information/life, leading to a multidimensional conceptualisation of the right to privacy.</t>
  </si>
  <si>
    <t>2de4ad3e5963b0df23a167d020f250f8</t>
  </si>
  <si>
    <t>Supranational human rights bodies are generally moving away from a practice of issuing declaratory orders and deferring to the state on the means to comply with their decisions to the issuance of more specific reparation orders, including requiring guarantees of non-repetition such as law reform at the national level. Notwithstanding this general evolution, in this article I suggest that they have not had as significant an impact on strengthening the national remedial framework where torture is alleged. Focusing on the practice and jurisprudence of the European Court, I identify key factors that support this finding and suggest ways in which they can do more to accommodate the objective of strengthening the national remedial framework for torture while continuing to prioritise their role as forums for individual access to justice.</t>
  </si>
  <si>
    <t>044acc4000233981552512a097857790</t>
  </si>
  <si>
    <t>Abstract   Research method is a way of conducting research, a sort of package of strategies for gathering data. Method is not the same as methodology, and writing two separate chapters for each of these will help to ensure that the difference between them is maintained, but this is not necessary. You will make your own decisions regarding whether to address both in the same chapter or not. It is also useful to have a section in this chapter headed Technique, such as doing a survey or interviewing research participants. Some of the more common methods in qualitative research are case study, ethnography, document analysis, discourse analysis, and narrative enquiry. The selection of method will be informed by the methodology you have selected, and you will address issues of validity and trustworthiness as these pertain to the ways in which you employ the method selected.</t>
  </si>
  <si>
    <t>288de747b316afd352ae70a23303d441</t>
  </si>
  <si>
    <t>ABSTRACTThe rise of the BRICS countries – Brazil, Russia, China, India, and South Africa – has called into question the future of Western dominance in world markets and geopolitics. However, the developmental trajectories of the BRICS countries are shot through with socio-economic fault lines that relegate large numbers of people to the margins of current growth processes, where life is characterized by multiple and overlapping vulnerabilities. These socio-economic fault lines have, in turn, given rise to political convulsions across the BRICS countries, ranging from single-issue protests to sustained social movements oriented towards structural transformation. This article presents an innovative theoretical framework for theorizing the emerging political economy of development in the BRICS countries centred on neo-liberalization, precarity, and popular struggles. It discusses the contributions to this special issue in terms of how they illuminate the intersection between neo-liberalization, precarity, an...</t>
  </si>
  <si>
    <t>2dd38ffa80fd1641548cbc3a73cb04fb</t>
  </si>
  <si>
    <t>AbstractIn the context of an increased attention to issues of participation, legitimacy, transparency and accountability in the field of environmental politics and policy, collaborative governance arrangements have been promoted to rearticulate the interactions between experts, policy-makers and citizens. This article discusses the relationship between the democratization of environmental governance and the democratization of expertise by focusing on two influential frameworks developed in the field of Science and Technology Studies: the framework of post-normal science, as elaborated by Funtowicz and Ravetz, and the notion of co-production developed by Jasanoff. By discussing in details the original formulations of these concepts, and by reviewing works adopting the two frameworks in the fields of climate science and policy, we discuss their potential contribution to the analysis of the politics of science in the context of environmental policy-making. We suggest that dynamics and outputs of the knowledg...</t>
  </si>
  <si>
    <t>421f2a03cad3bb12c2a8df8ecfc59448</t>
  </si>
  <si>
    <t>This article is devoted to the application of law in the legal order of the Council of Europe. It presents guidelines for the decision-making process of the application of law applied in the legal area of the European Convention on Human Rights and the European Social Charter. The aim of this article is to present the characteristics of the decision-making process of the application of law in terms of human rights protection on European and supranational level, as well as the differences between such processes carried out on the basis of the ECHR and the ESC.</t>
  </si>
  <si>
    <t>aefc6df83fbee96a5df6d7418c052f3b</t>
  </si>
  <si>
    <t>This chapter investigates the analytically distorting effects sustained by international corruption rankings of treating corruption as a phenomenon bounded within national units. It questions the resulting understanding that corruption is disproportionately a problem of the developing world, characterised by direct unmediated transfers between bribe-givers and bribe-takers. Instead, the chapter offers a more transnational networked perspective on corruption, premised on the importance of professional intermediaries in facilitating illicit finance, the blurring of legal and illegal capital flows, and the globalisation of the individual via multiple claims of residence and citizenship. These trends are evidenced by a survey of the main components of the relevant transnational networks (shell companies, foreign real estate, and investor citizenship programmes). The chapter also includes a vignette study of the transnational dimensions of corruption involving Chinese individuals and the corresponding response of the Chinese government in internationalising its law enforcement strategies.</t>
  </si>
  <si>
    <t>113d06a4bd27af8bd0bcf6775e59960b</t>
  </si>
  <si>
    <t>Good governance—which includes accountability, transparency, an effective bureaucracy, regulatory quality, electoral competition, political checks and balances and rule of law—is considered the single most important factor in eradicating poverty and promoting development. The article discusses changes that have taken place in India with regard to governance reforms, focusing on reforms related to decentralisation. A review of available evidence does not provide any definitive conclusion about the effectiveness of decentralisation in facilitating democratic deepening and improving the responsiveness of government. In most cases, decentralisation has failed to bring popular participation and accountability to local government, thereby making it less responsive to citizens’ desires and less effective in delivering services. Appropriate institutions, rules and incentive mechanisms are needed to link the citizens with government. Capacity development of the citizens and conscious and combined efforts by govern...</t>
  </si>
  <si>
    <t>3e7fdb7f0f62d453a47a6d1e71d6f9ac</t>
  </si>
  <si>
    <t>From Empire to Community: A New Approach to International     Relations.  By Amitai Etzioni. New York: Palgrave Macmillan, 2004.     272p. $29.95.  Amitai Etzioni is a seasoned political sociologist and leading voice     in the communitarian program to offset the narcissistic and alienating     individualism of liberal modernity. Communitarians emphasize the affective     bonds that make community an indispensable feature of the human condition     and, thus, the local conditions within which individual human beings are     best able to understand and act on the common good. Notwithstanding     republican antecedents, communitarians have effectively abandoned the     universalistic tendencies of cosmopolitan Enlightenment republicanism to     rights-minded liberals. In doing so, most communitarians have neglected     international relations.</t>
  </si>
  <si>
    <t>3e2faa4615f1dd88369f544606ab07c0</t>
  </si>
  <si>
    <t>The new media rhetoric, with its emphasis on radical breaks from old media, often masks the degree to which continuity goes hand-in-hand with change. Moreover, the industry’s vision of convergence ignores the competing versions of, and struggles over, the digital future. Against this background, this article focuses on an inter-media site, broadcasters’ websites, seeks to identify the changes and continuities in the notion of the audience, and interprets these in the light of inter-media competition. Using a variant of discourse analysis, which makes hyperlinks its unit of analysis, this study has identified six understandings of the audience online: spectators, fans, consumers, citizens, students, and cybernauts. These reveal that television has merely expanded online, but not really changed its understandings of audiences, suggesting that in its struggle for dominance, television has chosen to stamp the internet with the televisual, rather than making full use of the internet’s potential.</t>
  </si>
  <si>
    <t>686627fde83af94a284f44837410c099</t>
  </si>
  <si>
    <t>AbstractThis article examines the school choices of families who have recently experienced downward mobility during the economic crisis in Spain. Based on semi-structured interviews we analyse the educational strategies of the families in a Bourdieusian framework, focusing on how they cope with the loss of their perceived social status. Prior to the crisis, these families of working-class origin improved their social position as a result of their success in economic capital accumulation with a humble increase in social and cultural capital. Our research suggests that the concerns of families confronted with downward social mobility are manifested in tensions related to their school choice in terms of their strategies of resistance and negotiation with regards to the ownership, social composition and corresponding perceived quality of the school. School can symbolically represent the last resort, an indispensable investment in one’s own future and that of the next generation.</t>
  </si>
  <si>
    <t>427ccdb909f71cc0eefcadba520463c9</t>
  </si>
  <si>
    <t>We are currently witnessing a rapid rise in biometric security. Borders are apparently becoming ‘smart’, passports are becoming e-passports, and when you set out on your travels your data double is already at your destination. Access to airports and even continents will increasingly be determined not by your national citizenship but by the security of your identity. Biometric security has received little anthropological attention despite historical associations with the discipline. Here I wish to outline a brief genealogy of biometric security in order to argue that, beyond the apparent newness of the technology, key biometric technologies owe their origins to 19th-entury deployments and then as now they may be understood as a form of bio-governmentality in which the security of identity opens possibilities for population control.</t>
  </si>
  <si>
    <t>identity</t>
  </si>
  <si>
    <t>b53df6a760ffa11837c70e90041eee2a</t>
  </si>
  <si>
    <t>In recent years, physical geography in Mexico has contributed to the enterprise of geographical science by integrating with fields of study closely related to topics of sustainable development. This paper outlines the contribution of the discipline to environmental public policy development, particularly ecological land use planning and integrated watershed management. In terms of applications, physical geography appears to have reached a stage of maturity in Mexico. However, it must offer a stronger leadership in areas such as ecoregional analysis (in an integrated fashion, and not only from the biological-ecological perspective) and regional vulnerability to global change processes. An excellent opportunity exists for scientists and decision makers to develop a common agenda.</t>
  </si>
  <si>
    <t>public policy development</t>
  </si>
  <si>
    <t>6c64a74b23d331b3690e08f37dfb58f6</t>
  </si>
  <si>
    <t>Critical and systemic thinking and practice can be used as a vehicle for governance to address knowledge and its implications for those who are excluded from the protection of nationality, citizenship, human rights and animal rights (by virtue of their age, their place of birth, their gender, level of education, income, ability or species). The way to achieve sustainable governance is to enable decision makers to become more mindful or more conscious of the implications of their decisions. Once it is realized that idealism and pragmatism are one, because of the ‘boomerang affect’ (Beck, 1992) of social and environmental injustice, greater progress towards sustainable futures can be achieved. This paper based on a manuscript argues for participatory governance that appreciates diversity to the extent that it supports sustainable social and environmental futures. It confronts terrorism, hegemony and cruelty as challenges for systemic, sustainable governance and international relations.</t>
  </si>
  <si>
    <t>05b26e60f694c7dcaa57b23bd56c2c24</t>
  </si>
  <si>
    <t>Emotions have remained under-addressed in scholarship on public memorial art, particularly with sexuality content. This case study on the Amsterdam-based Homomonument attends to this gap by differentiating emotions according to multi-scalar, multi-temporal and multi-semiotic dimensions of everyday lived experiences of sexual citizenship. Based on discourse analysis of secondary materials and social media coverage, supplemented with auto-ethnographic experience, the study explores how present-day feelings of respect, agitation and celebration about Homomonument are mediated at intersecting levels of the body, local community, broader society and emergent virtual community spaces particularly. Such understanding requires critical interfaces with reminiscences, contemporary values and normativities, and future imaginaries. Specifically, this paper puts in perspective how Homomonument operates as queer micropublic: a space for intercultural encounter and ‘queerying’ sexual difference. This appears to be a multifaceted meaningful process, too: Homomonument ambiguously holds contesting, reconciling, indifferent and empathic sentiments alongside belongings and sexual identity expressions in quotidian life.</t>
  </si>
  <si>
    <t>0fc4a7fedfb5e9cd27418a5fba043cca</t>
  </si>
  <si>
    <t>How do we reach a wide variety of possible readers? This commentary notes various ways in which academic information has been organized on the Web, stressing the usefulness of different formats and approaches. The Social Science Research Network provides a way for publications to become widely known at an early stage. Such Web-based facilities for one-stop searching are needed for academics and policy makers interested in health services, health policy, public health and population health.</t>
  </si>
  <si>
    <t>fb989ed33aecb1e0600b26ad929a4b06</t>
  </si>
  <si>
    <t>The process of migration, whether forced or voluntary, often entails negotiating new social norms and traditions. It may mean that a person will have to learn another language and reconsider familiar perspectives on gender roles, parenting approaches, and many other social practices. These adjustments can be profoundly stressful and have implications for one's sense of physical, mental, cultural, spiritual, and social well-being. Migrants traveling as a family will likely experience the stress of migration and acculturation in different ways from individual migrants.      Keywords:    cultural diversity,  diaspora,  migration,  multiculturalism,  refugees</t>
  </si>
  <si>
    <t>c78359c4869a35669e9377dc75d62791</t>
  </si>
  <si>
    <t>Much of America’s aging drinking water infrastructure is in a state of disrepair that threatens our water quality and public health. If the goal of equitable access to safe water is to be realized, we must rise to the challenge of replacing or upgrading this infrastructure starting in communities that can least afford to do so. This chapter examines the disparate financial burdens, potential health impacts, and environmental justice implications that water infrastructure inequality poses through the problem of lead in drinking water and opportunistic premise plumbing pathogens. The lead-in-water crisis and Legionella outbreak in Flint, Michigan, provides a clarion call to address funding needs, strengthen regulations, incentivize regulatory compliance, promote meaningful public participation, ensure government accountability, and improve public health outcomes.</t>
  </si>
  <si>
    <t>last sentence</t>
  </si>
  <si>
    <t>c412d082306c88d0fab7db3028ab9027</t>
  </si>
  <si>
    <t>The chapter looks at when arms transfers to armed groups will be illegal under international law, when the use of certain arms by armed groups will be illegal and what are the factors which allow us to consider armed groups bound by these prohibitions at the international level. The situation in Syria is highlighted and there are references to the ongoing negotiations at the United Nations for an Arms Trade Treaty. Particular attention is paid to the issue of the obligations of armed groups under human rights law and recent developments which suggest that such groups are bound by international law even where, as in the early stages of the Syria fighting, the militia or armed group are not necessarily in control of territory or in a situation of armed conflict.</t>
  </si>
  <si>
    <t>8a40230051d7125d2e6e76e9968f945f</t>
  </si>
  <si>
    <t>For decades, home studies has been developed across a wide range of disciplines, including ethnography and anthropology, human and cultural geography, history, and social research in architecture and design. Transnational migrations also found their own specific niche in this multidisciplinary research area. Still, in migration studies of home numerous localized but isolated case studies predominate. This book by sociologist Paolo Boccagni is a long-awaited first attempt at generalizing, systematizing, and conceptualizing more deeply existing scholarship on the migrationhome nexus.     DOI:  10.25285/2078-1938-2017-9-3-160-163</t>
  </si>
  <si>
    <t>8d180616f2b86c7cc93f036fdda62f94</t>
  </si>
  <si>
    <t>This chapter argues that Northern Ireland’s geographical and political status in the UK has important consequences for questions of language learning, languages in the community and language policy. It examines the most important contextual factors for languages in Northern Ireland, and deals with two main areas: languages in the education system and languages in the community. In both sections, it discusses both policy and practice together. A final section draws together the main issues and the implications of Brexit for languages in Northern Ireland. It argues that what is now urgently needed is a radically different level of awareness, not only in wider society in Northern Ireland, but also in education and in local government, of the importance of languages for peace, community relations, security, trade, diplomacy, international relations and crucially, for intercultural understanding (at home and abroad).</t>
  </si>
  <si>
    <t>focus on peace</t>
  </si>
  <si>
    <t>d08526135a60cb302601a7ded03342f4</t>
  </si>
  <si>
    <t>The innovative practice that resulted from the Ottawa Charter challenges public health knowledge about programming and evaluation. Specifically, there is a need to formulate program theory that embraces social determinants of health and local actors' mobilization for social change. Likewise, it is imperative to develop a theory of evaluation that fosters reflexive understanding of public health programs engaged in social change. We believe advances in contemporary social theory that are founded on a critique of modernity and that articulate a coherent theory of practice should be considered when addressing these critical challenges.</t>
  </si>
  <si>
    <t>897513cfcf65ff6d9f51e3b8a5dfcdb7</t>
  </si>
  <si>
    <t>For multiculturalists who favour a relativist approach, globalization and the increasing interconnectedness of societies pose a threat to cultural diversity. In this paper we show, through an exploration of the work of Martha Nussbaum, that a viable universalist feminism can accommodate a thin and so defensible version of multiculturalism. Nussbaum's treatment of culture in relation to women's education and the cultivation of capacities for world citizenship fosters inclusion of norms and traditions from different ways of life, while leaving room for a critical perspective on them. On these grounds, there is considerable scope for cooperation between comparative education and feminist philosophy's liberal theorists.</t>
  </si>
  <si>
    <t>a8725283b8b6c962f4de06aedcdb8169</t>
  </si>
  <si>
    <t>In this introduction, game studies is argued to be a force of innovation for cultural studies. While game studies, as it has developed over the last 10 years, fits well within cultural studies' methodology and theory, it does more than benefit from cultural studies as a 'mother discipline'. Game studies proves itself to be a strong force, especially in its productive use of political economy to analyse games and gaming as a (new) cultural form. Building on a descriptive taxonomy of games and gaming by both genre and 'platform', this is an introduction to games and gaming for those with a cultural studies background. While ideally, game studies will develop also as cultural critique, this is a far cry from dominant practice in the gamer community. Gamers tend to be 'hand-in-glove' with the industry. It is high time for game studies to turn a critical eye on itself.</t>
  </si>
  <si>
    <t>feb50230bef31ca65e1876d9fe215fd6</t>
  </si>
  <si>
    <t>Gender scholars have argued that legal reforms against violence position women as victims in need of state help. Using data collected from 22 months of participant observation with survivors of domestic violence in India, I urge academics to re-theorize the relationship between legal reforms and women’s citizenship during an era of neoliberal governance. Burdened with administrative tasks, Indian law enforcement personnel manage new rights claims by displacing regulatory duties onto survivors and caseworkers. Women who have access to women’s organizations are able to take advantage of these changes and “save” themselves and other women from violence. This article shows how neoliberal governmentality, when combined with women’s organizing, has the potential to restructure women’s relationship to the state.</t>
  </si>
  <si>
    <t>legal reforms = justice for all</t>
  </si>
  <si>
    <t>4920bda5bd27d3ddef7cbf1b77538b28</t>
  </si>
  <si>
    <t>This article is based on a talk given at the Wisconsin Law Review 2010 Symposium on Intergenerational Equity and Intellectual Property held at the the University of Wisconsin Law School on November 12, 2010. In this short piece, I argue that there is an interesting tension between thinking about intergenerational equity and new media through a standard future-oriented lens and thinking about it through the lens of the common law. The tension can be briefly described as between variations of a classic Schmupeterian "creative destruction" on the one hand and the role of courts, law, and precedent in a common-law system on the other, what we might call "creative construction." I use this framework to focus on the ways in which courts rely on First Amendment institutions to further innovations-both legal and technological-whose effects in turn may transcend the present generation.</t>
  </si>
  <si>
    <t>6037752256855089155a0945330e4841</t>
  </si>
  <si>
    <t>The Brazilian National AIDS Program is widely recognized as the leading example of an integrated HIV/AIDS prevention, care, and treatment program in a developing country. We critically analyze the Brazilian experience, distinguishing those elements that are unique to Brazil from the programmatic and policy decisions that can aid the development of similar programs in other low- and middle-income and developing countries.Among the critical issues that are discussed are human rights and solidarity, the interface of politics and public health, sexuality and culture, the integration of prevention and treatment, the transition from an epidemic rooted among men who have sex with men to one that increasingly affects women, and special prevention and treatment programs for injection drug users.</t>
  </si>
  <si>
    <t>TO DO</t>
  </si>
  <si>
    <t>Seems to be indirect but not sure</t>
  </si>
  <si>
    <t>This right doesn't seem to be fundamental enough for this SDG but not sure</t>
  </si>
  <si>
    <t xml:space="preserve">not really on public access to information </t>
  </si>
  <si>
    <t>human rights and solidarity enough to mark as 16? Critical issues discussed has no value, call to action etc.</t>
  </si>
  <si>
    <t>could be linked to 16.6?</t>
  </si>
  <si>
    <t>though vaguely links to 16.7 Ensure responsive, inclusive, participatory and representative decision-making at all levels.</t>
  </si>
  <si>
    <t>more on access to education</t>
  </si>
  <si>
    <t>no real link to SDG 16</t>
  </si>
  <si>
    <t>transparent and effective institutions</t>
  </si>
  <si>
    <t>transparent institutions?</t>
  </si>
  <si>
    <t>last sentence on corruption</t>
  </si>
  <si>
    <t>though very weak link: 16.b Promote and enforce non-discriminatory laws and policies for sustainable development.</t>
  </si>
  <si>
    <t>weak link to 16.7 though</t>
  </si>
  <si>
    <t>16.2 much more on ending abuse, violence, trafficking</t>
  </si>
  <si>
    <t>more responsive decision making enough to link to 16.7?</t>
  </si>
  <si>
    <t>fundamental freedoms?</t>
  </si>
  <si>
    <t>only fact stating</t>
  </si>
  <si>
    <t>no value</t>
  </si>
  <si>
    <t>again only fact stating? Or can better tools to analyse crime and terror actually be seen as leverage point in the fight against crime?</t>
  </si>
  <si>
    <t>inclusive policy making?</t>
  </si>
  <si>
    <t>call to action?</t>
  </si>
  <si>
    <t>inclusive policies? Non-discrimanatory?</t>
  </si>
  <si>
    <t>not sure schools fall under institutions SDG 16 focuses on</t>
  </si>
  <si>
    <t>non-discriminatory policies? Though not really towards sustainable development?</t>
  </si>
  <si>
    <t>fact stating?</t>
  </si>
  <si>
    <t>doi</t>
  </si>
  <si>
    <t>text_id</t>
  </si>
  <si>
    <t>text</t>
  </si>
  <si>
    <t>sdg</t>
  </si>
  <si>
    <t>labels_negative</t>
  </si>
  <si>
    <t>labels_positive</t>
  </si>
  <si>
    <t>labels_total</t>
  </si>
  <si>
    <t>agreement</t>
  </si>
  <si>
    <t>label</t>
  </si>
  <si>
    <t>difficulty</t>
  </si>
  <si>
    <t>selection reason</t>
  </si>
  <si>
    <t>10.1016/B978-0-08-100231-5.00006-7</t>
  </si>
  <si>
    <t>very easy</t>
  </si>
  <si>
    <t>automated selection</t>
  </si>
  <si>
    <t>10.1016/J.GLOENVCHA.2015.01.001</t>
  </si>
  <si>
    <t>10.1177/1461444804041446</t>
  </si>
  <si>
    <t>10.18662/JESS/01</t>
  </si>
  <si>
    <t>10.1080/14442213.2014.922122</t>
  </si>
  <si>
    <t>10.1007/978-3-319-62707-6_3</t>
  </si>
  <si>
    <t>10.1080/02560054.2000.9665861</t>
  </si>
  <si>
    <t>10.1080/1323238X.2005.11910792</t>
  </si>
  <si>
    <t>10.1007/978-3-319-50639-5_11</t>
  </si>
  <si>
    <t>10.1177/0891243215602105</t>
  </si>
  <si>
    <t>10.1080/01425692.2017.1302316</t>
  </si>
  <si>
    <t>easy</t>
  </si>
  <si>
    <t>10.1002/PAM.2023</t>
  </si>
  <si>
    <t>10.1145/1316624.1316652</t>
  </si>
  <si>
    <t>10.1080/23299460.2014.963002</t>
  </si>
  <si>
    <t>10.1080/1523908X.2014.914894</t>
  </si>
  <si>
    <t>10.1111/J.0020-8833.2004.00317.X</t>
  </si>
  <si>
    <t>10.1515/SCR-2015-0011</t>
  </si>
  <si>
    <t>10.1080/0966369032000079550</t>
  </si>
  <si>
    <t>10.1111/HOEQ.12210</t>
  </si>
  <si>
    <t>10.1016/J.SOCSCIMED.2013.11.007</t>
  </si>
  <si>
    <t>10.1111/TESG.12190</t>
  </si>
  <si>
    <t>medium</t>
  </si>
  <si>
    <t>10.3989/AEAMER.2006.V63.I2.21</t>
  </si>
  <si>
    <t>10.1007/S11213-005-4157-6</t>
  </si>
  <si>
    <t>10.1179/1462317X13Z.00000000060</t>
  </si>
  <si>
    <t>10.1002/WAT2.1242</t>
  </si>
  <si>
    <t>10.1080/14747731.2018.1479018</t>
  </si>
  <si>
    <t>10.1007/978-3-030-21832-4_6</t>
  </si>
  <si>
    <t>10.1017/S1537592705800155</t>
  </si>
  <si>
    <t>10.1177/1367549407088328</t>
  </si>
  <si>
    <t>10.1080/14650040108407731</t>
  </si>
  <si>
    <t>10.1002/HAST.349</t>
  </si>
  <si>
    <t>hard</t>
  </si>
  <si>
    <t>10.1007/978-3-319-65169-9_14</t>
  </si>
  <si>
    <t>10.1177/1755088216673079</t>
  </si>
  <si>
    <t>10.1007/978-94-007-2294-1_2</t>
  </si>
  <si>
    <t>10.1093/TANDT/TTR023</t>
  </si>
  <si>
    <t>10.2139/SSRN.2780732</t>
  </si>
  <si>
    <t>10.1332/030557319X15579230420063</t>
  </si>
  <si>
    <t>10.1007/978-0-387-35634-1_10</t>
  </si>
  <si>
    <t>10.5902/217976922430</t>
  </si>
  <si>
    <t>10.1007/S10551-015-2675-4</t>
  </si>
  <si>
    <t>10.2139/SSRN.2701437</t>
  </si>
  <si>
    <t>very hard</t>
  </si>
  <si>
    <t>10.1177/1091142106289330</t>
  </si>
  <si>
    <t>10.2105/AJPH.2004.048017</t>
  </si>
  <si>
    <t>10.22199/S07189753.2008.0002.00004</t>
  </si>
  <si>
    <t>10.2139/SSRN.2482391</t>
  </si>
  <si>
    <t>10.25285/2078-1938-2017-9-3-160-163</t>
  </si>
  <si>
    <t>10.1080/10691898.2016.1190190</t>
  </si>
  <si>
    <t>10.1080/13698230.2012.757917</t>
  </si>
  <si>
    <t>10.1111/J.1540-5907.2008.00328.X</t>
  </si>
  <si>
    <t>10.5935/1414-8145.20130007</t>
  </si>
  <si>
    <t>10.1002/PAM.20003</t>
  </si>
  <si>
    <t>10.2139/SSRN.2210340</t>
  </si>
  <si>
    <t>10.1080/13642987.2012.685320</t>
  </si>
  <si>
    <t>10.25100/CM.V46I3.2087</t>
  </si>
  <si>
    <t>10.1080/13533310903303255</t>
  </si>
  <si>
    <t>10.4172/2315-7844.1000203</t>
  </si>
  <si>
    <t>10.5281/ZENODO.4647914</t>
  </si>
  <si>
    <t>target 16.1</t>
  </si>
  <si>
    <t>10.1057/978-1-137-50790-7_3</t>
  </si>
  <si>
    <t>10.1080/03057920802351432</t>
  </si>
  <si>
    <t>10.1177/1077801210382860</t>
  </si>
  <si>
    <t>10.12927/HCPOL..18337</t>
  </si>
  <si>
    <t>target 16.10</t>
  </si>
  <si>
    <t>10.24090/KOMUNIKA.V4I1.134</t>
  </si>
  <si>
    <t>10.1057/9781137505781_4</t>
  </si>
  <si>
    <t>10.1002/9781118767771.WBIEDCS135</t>
  </si>
  <si>
    <t>10.1163/EJ.9789004147300.I-66.8</t>
  </si>
  <si>
    <t>target 16.2</t>
  </si>
  <si>
    <t>10.1300/15582150802098795</t>
  </si>
  <si>
    <t>10.1080/09647775.2011.603930</t>
  </si>
  <si>
    <t>10.1007/S42448-018-0001-3</t>
  </si>
  <si>
    <t>10.1080/13510347.2013.790372</t>
  </si>
  <si>
    <t>target 16.3</t>
  </si>
  <si>
    <t>10.1007/978-3-319-71389-2_5</t>
  </si>
  <si>
    <t>10.1017/S0003055413000117</t>
  </si>
  <si>
    <t>10.2139/SSRN.2064503</t>
  </si>
  <si>
    <t>10.1017/CBO9781139227148.009</t>
  </si>
  <si>
    <t>target 16.4</t>
  </si>
  <si>
    <t>10.1146/ANNUREV.ANTHRO.30.1.387</t>
  </si>
  <si>
    <t>10.1007/978-94-007-6359-3</t>
  </si>
  <si>
    <t>10.1007/978-3-319-72682-3_12</t>
  </si>
  <si>
    <t>10.1111/J.1468-2397.2010.00770.X</t>
  </si>
  <si>
    <t>target 16.5</t>
  </si>
  <si>
    <t>10.1146/ANNUREV-LAWSOCSCI-102209-152942</t>
  </si>
  <si>
    <t>10.4337/9781784710736.00021</t>
  </si>
  <si>
    <t>10.1177/1369148117700658</t>
  </si>
  <si>
    <t>10.1177/0971523114539592</t>
  </si>
  <si>
    <t>target 16.6</t>
  </si>
  <si>
    <t>10.33448/RSD-V9I1.1704</t>
  </si>
  <si>
    <t>10.1386/AJR_00008_1</t>
  </si>
  <si>
    <t>10.1007/978-981-10-3212-7_17</t>
  </si>
  <si>
    <t>10.17951/SIL.2015.24.2.73</t>
  </si>
  <si>
    <t>target 16.7</t>
  </si>
  <si>
    <t>10.33774/APSA-2020-4C0F2</t>
  </si>
  <si>
    <t>10.1080/10999922.2019.1582002</t>
  </si>
  <si>
    <t>10.1111/J.1467-9493.2010.00395.X</t>
  </si>
  <si>
    <t>10.1080/14747731.2015.1024454</t>
  </si>
  <si>
    <t>target 16.8</t>
  </si>
  <si>
    <t>10.2105/AJPH.2004.054593</t>
  </si>
  <si>
    <t>10.1080/09692290.2012.698998</t>
  </si>
  <si>
    <t>10.1057/9780230283237_9</t>
  </si>
  <si>
    <t>10.25159/2415-5829/2310</t>
  </si>
  <si>
    <t>target 16.9</t>
  </si>
  <si>
    <t>10.1002/9781118663202.WBEREN374</t>
  </si>
  <si>
    <t>10.1111/J.1467-8322.2009.00654.X</t>
  </si>
  <si>
    <t>10.1080/09555803.2017.1365748</t>
  </si>
  <si>
    <t>10.18359/RIES.2302</t>
  </si>
  <si>
    <t>target 16.a</t>
  </si>
  <si>
    <t>10.1080/0305006042000284501</t>
  </si>
  <si>
    <t>10.18294/RPPP.2017.1514</t>
  </si>
  <si>
    <t>target 16.b</t>
  </si>
  <si>
    <t>10.1080/13527258.2012.737354</t>
  </si>
  <si>
    <t>Group</t>
  </si>
  <si>
    <t>Alignment</t>
  </si>
  <si>
    <t>Comments</t>
  </si>
  <si>
    <t>Consensus</t>
  </si>
  <si>
    <t>Rationale</t>
  </si>
  <si>
    <t>Notes</t>
  </si>
  <si>
    <t/>
  </si>
  <si>
    <t>other</t>
  </si>
  <si>
    <t>- Finn: weak link</t>
  </si>
  <si>
    <t>UNDECIDED</t>
  </si>
  <si>
    <t xml:space="preserve">- Steve: not really on public access to information </t>
  </si>
  <si>
    <t>- Steve: fact stating?</t>
  </si>
  <si>
    <t>- Finn: legal reforms = justice for all</t>
  </si>
  <si>
    <t>- Finn: deregulation = good governance?
- Steve: non-discriminatory policies? Though not really towards sustainable development?</t>
  </si>
  <si>
    <t>focused on deregulation, regulatory reform and dscrimination</t>
  </si>
  <si>
    <t>2v1</t>
  </si>
  <si>
    <t>3v1</t>
  </si>
  <si>
    <t>accidentally selected the wrong label</t>
  </si>
  <si>
    <t>- Steve: more on access to education</t>
  </si>
  <si>
    <t>- Steve: inclusive policies? Non-discrimanatory?</t>
  </si>
  <si>
    <t>3v0</t>
  </si>
  <si>
    <t>more historical, without direct link to SDG 16</t>
  </si>
  <si>
    <t>- Steve: 16.8</t>
  </si>
  <si>
    <t>- Finn: conflict, politics</t>
  </si>
  <si>
    <t>not specific to SDG 16</t>
  </si>
  <si>
    <t>- Finn: focus on peace</t>
  </si>
  <si>
    <t>- Steve: transparent and effective institutions</t>
  </si>
  <si>
    <t>- Steve: weak link to 16.7 though</t>
  </si>
  <si>
    <t>- Steve: could be linked to 16.6?</t>
  </si>
  <si>
    <t>- Steve: no real link to SDG 16</t>
  </si>
  <si>
    <t>more philosophical</t>
  </si>
  <si>
    <t>- Finn: I don't really understand</t>
  </si>
  <si>
    <t>focused on health, without direct link to SDG 16</t>
  </si>
  <si>
    <t>- Steve: not sure schools fall under institutions SDG 16 focuses on</t>
  </si>
  <si>
    <t>- Steve: more responsive decision making enough to link to 16.7?</t>
  </si>
  <si>
    <t>- Finn: global governance</t>
  </si>
  <si>
    <t>- Finn: violence
- Steve: call to action?</t>
  </si>
  <si>
    <t>- Steve: 16.2 much more on ending abuse, violence, trafficking</t>
  </si>
  <si>
    <t>- Finn: last sentence</t>
  </si>
  <si>
    <t>- Finn: the case is about judicial control
- Steve: transparent institutions?</t>
  </si>
  <si>
    <t>legal case is focused on judicial review</t>
  </si>
  <si>
    <t>- Steve: fundamental freedoms?</t>
  </si>
  <si>
    <t>- Steve: again only fact stating? Or can better tools to analyse crime and terror actually be seen as leverage point in the fight against crime?</t>
  </si>
  <si>
    <t>- Steve: only fact stating</t>
  </si>
  <si>
    <t>- Finn: corruption in law enforcement
- Steve: last sentence on corruption</t>
  </si>
  <si>
    <t>- Steve: no value</t>
  </si>
  <si>
    <t>- Finn: public policy development
- Steve: though vaguely links to 16.7 Ensure responsive, inclusive, participatory and representative decision-making at all levels.</t>
  </si>
  <si>
    <t>- Steve: human rights and solidarity enough to mark as 16? Critical issues discussed has no value, call to action etc.</t>
  </si>
  <si>
    <t>- Finn: identity</t>
  </si>
  <si>
    <t>- Steve: inclusive policy making?</t>
  </si>
  <si>
    <t>- Steve: though very weak link: 16.b Promote and enforce non-discriminatory laws and policies for sustainable development.</t>
  </si>
  <si>
    <t>id</t>
  </si>
  <si>
    <t>osdg_text_id</t>
  </si>
  <si>
    <t>comment</t>
  </si>
  <si>
    <t>AbstractIn the context of an increased attention to issues of participation, legitimacy, transparency and accountability in the field of environmental politics and policy, collaborative governance arrangements have been promoted to rearticulate the interactions between experts, policy-makers and citizens. This article discusses the relationship between the democratization of environmental governance and the democratization of expertise by focusing on two influential frameworks developed in the field of Science and Technology Studies: the framework of post-normal science, as elaborated by Funtowicz and Ravetz, and the notion of co-production developed by Jasanoff. By discussing in details the original formulations of these concepts, and by reviewing works adopting the two frameworks in the fields of climate science and policy, we discuss their potential contribution to the analysis of the politics of science in the context of environmental policy-making. We suggest that dynamics and outputs of the knowledge...</t>
  </si>
  <si>
    <t>fix typo</t>
  </si>
  <si>
    <t>During the second half of the XVIII Century, close to the structural changes generated by the Borbons’ reforming institution, there appeared new social control mechanisms that tried to hold individuals so as to assign them a role within a circle of civil institutions with persuasive, preventive and/or coercive character. Cordoba del Tucuman jurisdiction, the southernmost of the Empire at that time, was also subjected to the impositions of these mechanisms, implemented by its first Governor, Mayor Rafael de Sobremonte since 1785. This paper will enquire into the characteristics these mechanisms acquired as regards women in Cordoba del Tucuman under the government of Mayor Rafael de Sobremonte since 1785.</t>
  </si>
  <si>
    <t>fix typos</t>
  </si>
  <si>
    <t>Critical and systemic thinking and practice can be used as a vehicle for governance to address knowledge and its implications for those who are excluded from the protection of nationality, citizenship, human rights and animal rights (by virtue of their age, their place of birth, their gender, level of education, income, ability or species). The way to achieve sustainable governance is to enable decision makers to become more mindful or more conscious of the implications of their decisions. Once it is realized that idealism and pragmatism are one, because of the ‘boomerang effect’ (Beck, 1992) of social and environmental injustice, greater progress towards sustainable futures can be achieved. This paper based on a manuscript argues for participatory governance that appreciates diversity to the extent that it supports sustainable social and environmental futures. It confronts terrorism, hegemony and cruelty as challenges for systemic, sustainable governance and international relations.</t>
  </si>
  <si>
    <t>Birth registration is becoming an important arena of political mobilisation for human rights. Discourses about civil registration advanced in the civil society and academic circles tend to frame birth registration in citizenship terms, arguing that (a) a birth certificate is indispensable in realising the child’s right to a name, nationality and citizenship, and (b) both the delay in registering and failure to register a child's birth compound the social exclusion of that child. However, narratives that connect birth registration and social exclusion in a causal relationship are seldom premised on empirical evidence. Drawing on qualitative key informant interviews, this article examines how non-birth registration relates to social exclusion of children. Participants' narratives generated in Zimbabwe's Bindura District revealed that non-birth registration is entangled with multiple dimensions of social exclusion, potentially giving rise to marginalisation of children in various spheres of society.</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</si>
</sst>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sz val="17.0"/>
      <color rgb="FF000000"/>
      <name val="&quot;Arial&quot;"/>
    </font>
    <font>
      <sz val="14.0"/>
      <color theme="1"/>
      <name val="Arial"/>
      <scheme val="minor"/>
    </font>
    <font>
      <color rgb="FF000000"/>
      <name val="&quot;Arial&quot;"/>
    </font>
    <font>
      <color rgb="FF000000"/>
      <name val="Arial"/>
      <scheme val="minor"/>
    </font>
    <font>
      <color theme="1"/>
      <name val="Arial"/>
      <scheme val="minor"/>
    </font>
    <font>
      <b/>
      <u/>
      <sz val="14.0"/>
      <color rgb="FF000000"/>
      <name val="Oswald"/>
    </font>
    <font>
      <u/>
      <color theme="1"/>
      <name val="Arial"/>
      <scheme val="minor"/>
    </font>
    <font>
      <i/>
      <color theme="1"/>
      <name val="Arial"/>
      <scheme val="minor"/>
    </font>
    <font>
      <color theme="1"/>
      <name val="Arial"/>
    </font>
    <font>
      <b/>
      <color rgb="FF000000"/>
      <name val="&quot;Arial&quot;"/>
    </font>
    <font>
      <b/>
      <color rgb="FFFFFFFF"/>
      <name val="Arial"/>
    </font>
    <font>
      <b/>
      <color theme="1"/>
      <name val="Arial"/>
    </font>
    <font>
      <u/>
      <color rgb="FF0000FF"/>
    </font>
    <font>
      <b/>
      <color theme="1"/>
      <name val="Arial"/>
      <scheme val="minor"/>
    </font>
    <font>
      <sz val="13.0"/>
      <color theme="1"/>
      <name val="Arial"/>
      <scheme val="minor"/>
    </font>
    <font>
      <b/>
      <u/>
      <color theme="1"/>
      <name val="Arial"/>
      <scheme val="minor"/>
    </font>
    <font>
      <b/>
      <color theme="1"/>
      <name val="Calibri"/>
    </font>
    <font>
      <b/>
      <sz val="10.0"/>
      <color theme="1"/>
      <name val="Arial"/>
      <scheme val="minor"/>
    </font>
    <font>
      <color theme="1"/>
      <name val="Calibri"/>
    </font>
    <font>
      <sz val="11.0"/>
      <color theme="1"/>
      <name val="Arial"/>
      <scheme val="minor"/>
    </font>
    <font>
      <b/>
      <sz val="10.0"/>
      <color theme="1"/>
      <name val="Arial"/>
    </font>
    <font>
      <sz val="10.0"/>
      <color theme="1"/>
      <name val="Arial"/>
      <scheme val="minor"/>
    </font>
    <font>
      <sz val="9.0"/>
      <color theme="1"/>
      <name val="Arial"/>
      <scheme val="minor"/>
    </font>
    <font>
      <b/>
      <sz val="9.0"/>
      <color theme="1"/>
      <name val="Arial"/>
      <scheme val="minor"/>
    </font>
  </fonts>
  <fills count="4">
    <fill>
      <patternFill patternType="none"/>
    </fill>
    <fill>
      <patternFill patternType="lightGray"/>
    </fill>
    <fill>
      <patternFill patternType="solid">
        <fgColor rgb="FF00689D"/>
        <bgColor rgb="FF00689D"/>
      </patternFill>
    </fill>
    <fill>
      <patternFill patternType="solid">
        <fgColor rgb="FFF4CCCC"/>
        <bgColor rgb="FFF4CCCC"/>
      </patternFill>
    </fill>
  </fills>
  <borders count="5">
    <border/>
    <border>
      <right style="thin">
        <color rgb="FF999999"/>
      </right>
    </border>
    <border>
      <right style="thin">
        <color rgb="FF999999"/>
      </right>
      <top style="thin">
        <color rgb="FF999999"/>
      </top>
      <bottom style="thin">
        <color rgb="FF999999"/>
      </bottom>
    </border>
    <border>
      <right style="thin">
        <color rgb="FF999999"/>
      </right>
      <bottom style="thin">
        <color rgb="FF999999"/>
      </bottom>
    </border>
    <border>
      <left style="thick">
        <color rgb="FF000000"/>
      </left>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shrinkToFit="0" vertical="center" wrapText="1"/>
    </xf>
    <xf borderId="0" fillId="0" fontId="7" numFmtId="0" xfId="0" applyAlignment="1" applyFont="1">
      <alignment readingOrder="0"/>
    </xf>
    <xf borderId="0" fillId="0" fontId="5" numFmtId="0" xfId="0" applyAlignment="1" applyFont="1">
      <alignment readingOrder="0"/>
    </xf>
    <xf borderId="0" fillId="0" fontId="8" numFmtId="0" xfId="0" applyAlignment="1" applyFont="1">
      <alignment readingOrder="0"/>
    </xf>
    <xf borderId="0" fillId="0" fontId="9" numFmtId="0" xfId="0" applyAlignment="1" applyFont="1">
      <alignment vertical="bottom"/>
    </xf>
    <xf borderId="0" fillId="0" fontId="9" numFmtId="0" xfId="0" applyAlignment="1" applyFont="1">
      <alignment shrinkToFit="0" vertical="bottom" wrapText="0"/>
    </xf>
    <xf borderId="0" fillId="0" fontId="9" numFmtId="0" xfId="0" applyFont="1"/>
    <xf borderId="0" fillId="0" fontId="5" numFmtId="0" xfId="0" applyAlignment="1" applyFont="1">
      <alignment readingOrder="0" shrinkToFit="0" wrapText="1"/>
    </xf>
    <xf borderId="0" fillId="0" fontId="10" numFmtId="0" xfId="0" applyAlignment="1" applyFont="1">
      <alignment readingOrder="0"/>
    </xf>
    <xf borderId="1" fillId="0" fontId="9" numFmtId="0" xfId="0" applyAlignment="1" applyBorder="1" applyFont="1">
      <alignment vertical="bottom"/>
    </xf>
    <xf borderId="2" fillId="2" fontId="11" numFmtId="0" xfId="0" applyAlignment="1" applyBorder="1" applyFill="1" applyFont="1">
      <alignment horizontal="center" readingOrder="0" vertical="center"/>
    </xf>
    <xf borderId="2" fillId="0" fontId="12" numFmtId="0" xfId="0" applyAlignment="1" applyBorder="1" applyFont="1">
      <alignment readingOrder="0" shrinkToFit="0" vertical="bottom" wrapText="1"/>
    </xf>
    <xf borderId="3" fillId="2" fontId="11" numFmtId="0" xfId="0" applyAlignment="1" applyBorder="1" applyFont="1">
      <alignment horizontal="center" readingOrder="0" shrinkToFit="0" vertical="center" wrapText="1"/>
    </xf>
    <xf borderId="3" fillId="0" fontId="9" numFmtId="0" xfId="0" applyAlignment="1" applyBorder="1" applyFont="1">
      <alignment readingOrder="0" shrinkToFit="0" vertical="bottom" wrapText="1"/>
    </xf>
    <xf borderId="0" fillId="0" fontId="13" numFmtId="0" xfId="0" applyAlignment="1" applyFont="1">
      <alignment readingOrder="0"/>
    </xf>
    <xf borderId="0" fillId="0" fontId="14" numFmtId="0" xfId="0" applyAlignment="1" applyFont="1">
      <alignment readingOrder="0"/>
    </xf>
    <xf borderId="0" fillId="0" fontId="5" numFmtId="0" xfId="0" applyFont="1"/>
    <xf borderId="0" fillId="0" fontId="0" numFmtId="0" xfId="0" applyAlignment="1" applyFont="1">
      <alignment horizontal="right"/>
    </xf>
    <xf borderId="0" fillId="0" fontId="15" numFmtId="0" xfId="0" applyAlignment="1" applyFont="1">
      <alignment readingOrder="0"/>
    </xf>
    <xf borderId="0" fillId="0" fontId="16" numFmtId="0" xfId="0" applyAlignment="1" applyFont="1">
      <alignment readingOrder="0"/>
    </xf>
    <xf borderId="0" fillId="0" fontId="9" numFmtId="0" xfId="0" applyAlignment="1" applyFont="1">
      <alignment readingOrder="0" shrinkToFit="0" vertical="bottom" wrapText="0"/>
    </xf>
    <xf borderId="0" fillId="0" fontId="9" numFmtId="0" xfId="0" applyAlignment="1" applyFont="1">
      <alignment shrinkToFit="0" vertical="bottom" wrapText="0"/>
    </xf>
    <xf borderId="0" fillId="0" fontId="17" numFmtId="0" xfId="0" applyAlignment="1" applyFont="1">
      <alignment readingOrder="0" vertical="bottom"/>
    </xf>
    <xf borderId="0" fillId="0" fontId="17" numFmtId="0" xfId="0" applyAlignment="1" applyFont="1">
      <alignment readingOrder="0" shrinkToFit="0" vertical="bottom" wrapText="1"/>
    </xf>
    <xf borderId="0" fillId="0" fontId="18" numFmtId="0" xfId="0" applyAlignment="1" applyFont="1">
      <alignment horizontal="center" readingOrder="0" vertical="bottom"/>
    </xf>
    <xf borderId="0" fillId="0" fontId="19" numFmtId="0" xfId="0" applyAlignment="1" applyFont="1">
      <alignment vertical="bottom"/>
    </xf>
    <xf borderId="0" fillId="0" fontId="19" numFmtId="0" xfId="0" applyAlignment="1" applyFont="1">
      <alignment shrinkToFit="0" vertical="bottom" wrapText="1"/>
    </xf>
    <xf borderId="0" fillId="0" fontId="20" numFmtId="0" xfId="0" applyAlignment="1" applyFont="1">
      <alignment horizontal="center" readingOrder="0" vertical="center"/>
    </xf>
    <xf borderId="0" fillId="3" fontId="19" numFmtId="0" xfId="0" applyAlignment="1" applyFill="1" applyFont="1">
      <alignment shrinkToFit="0" vertical="bottom" wrapText="1"/>
    </xf>
    <xf borderId="0" fillId="0" fontId="12" numFmtId="0" xfId="0" applyAlignment="1" applyFont="1">
      <alignment vertical="bottom"/>
    </xf>
    <xf borderId="0" fillId="0" fontId="12" numFmtId="0" xfId="0" applyAlignment="1" applyFont="1">
      <alignment vertical="bottom"/>
    </xf>
    <xf borderId="0" fillId="0" fontId="12" numFmtId="0" xfId="0" applyAlignment="1" applyFont="1">
      <alignment horizontal="right" readingOrder="0" vertical="bottom"/>
    </xf>
    <xf borderId="0" fillId="0" fontId="9" numFmtId="0" xfId="0" applyAlignment="1" applyFont="1">
      <alignment vertical="bottom"/>
    </xf>
    <xf borderId="0" fillId="0" fontId="9" numFmtId="0" xfId="0" applyAlignment="1" applyFont="1">
      <alignment horizontal="right" vertical="bottom"/>
    </xf>
    <xf borderId="0" fillId="0" fontId="9" numFmtId="0" xfId="0" applyAlignment="1" applyFont="1">
      <alignment horizontal="right" vertical="bottom"/>
    </xf>
    <xf borderId="0" fillId="0" fontId="9" numFmtId="0" xfId="0" applyAlignment="1" applyFont="1">
      <alignment horizontal="center" vertical="bottom"/>
    </xf>
    <xf borderId="0" fillId="0" fontId="12" numFmtId="0" xfId="0" applyAlignment="1" applyFont="1">
      <alignment horizontal="center" readingOrder="0" vertical="bottom"/>
    </xf>
    <xf borderId="0" fillId="0" fontId="12" numFmtId="0" xfId="0" applyAlignment="1" applyFont="1">
      <alignment horizontal="center" vertical="bottom"/>
    </xf>
    <xf borderId="0" fillId="0" fontId="21" numFmtId="0" xfId="0" applyAlignment="1" applyFont="1">
      <alignment readingOrder="0" vertical="bottom"/>
    </xf>
    <xf borderId="4" fillId="0" fontId="14" numFmtId="0" xfId="0" applyAlignment="1" applyBorder="1" applyFont="1">
      <alignment horizontal="center"/>
    </xf>
    <xf borderId="0" fillId="0" fontId="5" numFmtId="0" xfId="0" applyAlignment="1" applyFont="1">
      <alignment horizontal="center"/>
    </xf>
    <xf borderId="0" fillId="0" fontId="22" numFmtId="10" xfId="0" applyFont="1" applyNumberFormat="1"/>
    <xf borderId="0" fillId="0" fontId="23" numFmtId="10" xfId="0" applyFont="1" applyNumberFormat="1"/>
    <xf borderId="4" fillId="0" fontId="5" numFmtId="0" xfId="0" applyAlignment="1" applyBorder="1" applyFont="1">
      <alignment horizontal="center"/>
    </xf>
    <xf borderId="0" fillId="0" fontId="5" numFmtId="0" xfId="0" applyAlignment="1" applyFont="1">
      <alignment horizontal="center" vertical="center"/>
    </xf>
    <xf borderId="0" fillId="0" fontId="5" numFmtId="0" xfId="0" applyAlignment="1" applyFont="1">
      <alignment horizontal="center" readingOrder="0" vertical="center"/>
    </xf>
    <xf borderId="4" fillId="0" fontId="5" numFmtId="0" xfId="0" applyAlignment="1" applyBorder="1" applyFont="1">
      <alignment horizontal="center" readingOrder="0"/>
    </xf>
    <xf borderId="0" fillId="0" fontId="24" numFmtId="0" xfId="0" applyAlignment="1" applyFont="1">
      <alignment readingOrder="0"/>
    </xf>
    <xf borderId="0" fillId="0" fontId="23" numFmtId="0" xfId="0" applyFont="1"/>
    <xf borderId="0" fillId="0" fontId="23" numFmtId="0" xfId="0" applyFont="1"/>
    <xf borderId="0" fillId="0" fontId="9" numFmtId="0" xfId="0" applyAlignment="1" applyFont="1">
      <alignment readingOrder="0" vertical="bottom"/>
    </xf>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color rgb="FFB7B7B7"/>
      </font>
      <fill>
        <patternFill patternType="none"/>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KCI6yswUKtks84SBjK2OGY4P-cIgkcF/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5.38"/>
    <col customWidth="1" min="3" max="3" width="71.0"/>
  </cols>
  <sheetData>
    <row r="1">
      <c r="A1" s="1"/>
    </row>
    <row r="2">
      <c r="B2" s="2" t="s">
        <v>0</v>
      </c>
    </row>
    <row r="3">
      <c r="B3" s="3"/>
    </row>
    <row r="4">
      <c r="B4" s="4" t="s">
        <v>1</v>
      </c>
    </row>
    <row r="5">
      <c r="B5" s="5" t="s">
        <v>2</v>
      </c>
    </row>
    <row r="6">
      <c r="B6" s="5"/>
    </row>
    <row r="7">
      <c r="B7" s="6" t="s">
        <v>3</v>
      </c>
    </row>
    <row r="8">
      <c r="B8" s="5" t="s">
        <v>4</v>
      </c>
    </row>
    <row r="9">
      <c r="B9" s="5" t="s">
        <v>5</v>
      </c>
    </row>
    <row r="10">
      <c r="B10" s="5" t="s">
        <v>6</v>
      </c>
    </row>
    <row r="11">
      <c r="B11" s="5" t="s">
        <v>7</v>
      </c>
    </row>
    <row r="12">
      <c r="B12" s="5" t="s">
        <v>8</v>
      </c>
    </row>
    <row r="13">
      <c r="B13" s="5"/>
    </row>
    <row r="14">
      <c r="B14" s="6" t="s">
        <v>9</v>
      </c>
    </row>
    <row r="15">
      <c r="B15" s="5" t="s">
        <v>10</v>
      </c>
    </row>
    <row r="16">
      <c r="B16" s="5" t="s">
        <v>11</v>
      </c>
    </row>
    <row r="17">
      <c r="B17" s="5"/>
      <c r="C17" s="5"/>
    </row>
    <row r="18">
      <c r="B18" s="7" t="b">
        <v>1</v>
      </c>
      <c r="C18" s="5" t="s">
        <v>12</v>
      </c>
    </row>
    <row r="19">
      <c r="B19" s="7" t="b">
        <v>0</v>
      </c>
      <c r="C19" s="5" t="s">
        <v>13</v>
      </c>
    </row>
    <row r="20">
      <c r="B20" s="7" t="s">
        <v>14</v>
      </c>
      <c r="C20" s="5" t="s">
        <v>15</v>
      </c>
    </row>
    <row r="22">
      <c r="B22" s="5" t="s">
        <v>16</v>
      </c>
    </row>
    <row r="24">
      <c r="B24" s="6" t="s">
        <v>17</v>
      </c>
    </row>
    <row r="25">
      <c r="B25" s="5" t="s">
        <v>18</v>
      </c>
      <c r="C25" s="8"/>
    </row>
    <row r="26">
      <c r="B26" s="9"/>
      <c r="C26" s="8"/>
    </row>
    <row r="27">
      <c r="B27" s="9" t="s">
        <v>19</v>
      </c>
      <c r="C27" s="8"/>
    </row>
    <row r="28">
      <c r="B28" s="10" t="s">
        <v>20</v>
      </c>
      <c r="C28" s="8"/>
    </row>
    <row r="29">
      <c r="B29" s="5"/>
      <c r="C29" s="8"/>
    </row>
    <row r="30">
      <c r="B30" s="11" t="s">
        <v>21</v>
      </c>
      <c r="C30" s="8"/>
    </row>
    <row r="31">
      <c r="B31" s="5"/>
      <c r="C31" s="8"/>
    </row>
    <row r="32">
      <c r="B32" s="9" t="s">
        <v>22</v>
      </c>
      <c r="C32" s="8"/>
    </row>
    <row r="33">
      <c r="B33" s="5" t="s">
        <v>23</v>
      </c>
      <c r="C33" s="8"/>
    </row>
    <row r="34">
      <c r="B34" s="5" t="s">
        <v>24</v>
      </c>
      <c r="C34" s="8"/>
    </row>
    <row r="35">
      <c r="C35" s="8"/>
    </row>
    <row r="36">
      <c r="B36" s="11" t="s">
        <v>21</v>
      </c>
      <c r="C36" s="8"/>
    </row>
    <row r="37">
      <c r="C37" s="8"/>
    </row>
    <row r="38">
      <c r="B38" s="9" t="s">
        <v>25</v>
      </c>
      <c r="C38" s="8"/>
    </row>
    <row r="39">
      <c r="B39" s="5" t="s">
        <v>26</v>
      </c>
      <c r="C39" s="8"/>
    </row>
    <row r="40">
      <c r="A40" s="12"/>
      <c r="B40" s="13" t="s">
        <v>27</v>
      </c>
      <c r="C40" s="14"/>
      <c r="D40" s="12"/>
      <c r="E40" s="12"/>
      <c r="F40" s="12"/>
      <c r="G40" s="12"/>
      <c r="H40" s="12"/>
      <c r="I40" s="12"/>
      <c r="J40" s="12"/>
      <c r="K40" s="12"/>
      <c r="L40" s="12"/>
      <c r="M40" s="12"/>
      <c r="N40" s="12"/>
      <c r="O40" s="12"/>
      <c r="P40" s="12"/>
      <c r="Q40" s="12"/>
      <c r="R40" s="12"/>
      <c r="S40" s="12"/>
      <c r="T40" s="12"/>
      <c r="U40" s="12"/>
      <c r="V40" s="12"/>
      <c r="W40" s="12"/>
      <c r="X40" s="12"/>
      <c r="Y40" s="12"/>
      <c r="Z40" s="12"/>
    </row>
    <row r="41">
      <c r="C41" s="8"/>
    </row>
    <row r="42">
      <c r="B42" s="9" t="s">
        <v>28</v>
      </c>
      <c r="C42" s="15"/>
    </row>
    <row r="43">
      <c r="B43" s="5" t="s">
        <v>29</v>
      </c>
    </row>
    <row r="44">
      <c r="B44" s="5" t="s">
        <v>30</v>
      </c>
    </row>
    <row r="45">
      <c r="B45" s="16"/>
    </row>
    <row r="46">
      <c r="B46" s="3" t="s">
        <v>31</v>
      </c>
    </row>
    <row r="48">
      <c r="B48" s="6" t="s">
        <v>32</v>
      </c>
    </row>
    <row r="49">
      <c r="A49" s="17"/>
      <c r="B49" s="18" t="s">
        <v>33</v>
      </c>
      <c r="C49" s="19" t="s">
        <v>34</v>
      </c>
      <c r="D49" s="12"/>
      <c r="E49" s="12"/>
      <c r="F49" s="12"/>
      <c r="G49" s="12"/>
      <c r="H49" s="12"/>
      <c r="I49" s="12"/>
      <c r="J49" s="12"/>
      <c r="K49" s="12"/>
      <c r="L49" s="12"/>
      <c r="M49" s="12"/>
      <c r="N49" s="12"/>
      <c r="O49" s="12"/>
      <c r="P49" s="12"/>
      <c r="Q49" s="12"/>
      <c r="R49" s="12"/>
      <c r="S49" s="12"/>
      <c r="T49" s="12"/>
      <c r="U49" s="12"/>
      <c r="V49" s="12"/>
      <c r="W49" s="12"/>
      <c r="X49" s="12"/>
      <c r="Y49" s="12"/>
      <c r="Z49" s="12"/>
    </row>
    <row r="50">
      <c r="A50" s="17"/>
      <c r="B50" s="20" t="s">
        <v>35</v>
      </c>
      <c r="C50" s="21" t="s">
        <v>36</v>
      </c>
      <c r="D50" s="12"/>
      <c r="E50" s="12"/>
      <c r="F50" s="12"/>
      <c r="G50" s="12"/>
      <c r="H50" s="12"/>
      <c r="I50" s="12"/>
      <c r="J50" s="12"/>
      <c r="K50" s="12"/>
      <c r="L50" s="12"/>
      <c r="M50" s="12"/>
      <c r="N50" s="12"/>
      <c r="O50" s="12"/>
      <c r="P50" s="12"/>
      <c r="Q50" s="12"/>
      <c r="R50" s="12"/>
      <c r="S50" s="12"/>
      <c r="T50" s="12"/>
      <c r="U50" s="12"/>
      <c r="V50" s="12"/>
      <c r="W50" s="12"/>
      <c r="X50" s="12"/>
      <c r="Y50" s="12"/>
      <c r="Z50" s="12"/>
    </row>
    <row r="51">
      <c r="A51" s="17"/>
      <c r="B51" s="20" t="s">
        <v>37</v>
      </c>
      <c r="C51" s="21" t="s">
        <v>38</v>
      </c>
      <c r="D51" s="12"/>
      <c r="E51" s="12"/>
      <c r="F51" s="12"/>
      <c r="G51" s="12"/>
      <c r="H51" s="12"/>
      <c r="I51" s="12"/>
      <c r="J51" s="12"/>
      <c r="K51" s="12"/>
      <c r="L51" s="12"/>
      <c r="M51" s="12"/>
      <c r="N51" s="12"/>
      <c r="O51" s="12"/>
      <c r="P51" s="12"/>
      <c r="Q51" s="12"/>
      <c r="R51" s="12"/>
      <c r="S51" s="12"/>
      <c r="T51" s="12"/>
      <c r="U51" s="12"/>
      <c r="V51" s="12"/>
      <c r="W51" s="12"/>
      <c r="X51" s="12"/>
      <c r="Y51" s="12"/>
      <c r="Z51" s="12"/>
    </row>
    <row r="52">
      <c r="A52" s="17"/>
      <c r="B52" s="20" t="s">
        <v>39</v>
      </c>
      <c r="C52" s="21" t="s">
        <v>40</v>
      </c>
      <c r="D52" s="12"/>
      <c r="E52" s="12"/>
      <c r="F52" s="12"/>
      <c r="G52" s="12"/>
      <c r="H52" s="12"/>
      <c r="I52" s="12"/>
      <c r="J52" s="12"/>
      <c r="K52" s="12"/>
      <c r="L52" s="12"/>
      <c r="M52" s="12"/>
      <c r="N52" s="12"/>
      <c r="O52" s="12"/>
      <c r="P52" s="12"/>
      <c r="Q52" s="12"/>
      <c r="R52" s="12"/>
      <c r="S52" s="12"/>
      <c r="T52" s="12"/>
      <c r="U52" s="12"/>
      <c r="V52" s="12"/>
      <c r="W52" s="12"/>
      <c r="X52" s="12"/>
      <c r="Y52" s="12"/>
      <c r="Z52" s="12"/>
    </row>
    <row r="53">
      <c r="A53" s="17"/>
      <c r="B53" s="20" t="s">
        <v>41</v>
      </c>
      <c r="C53" s="21" t="s">
        <v>42</v>
      </c>
      <c r="D53" s="12"/>
      <c r="E53" s="12"/>
      <c r="F53" s="12"/>
      <c r="G53" s="12"/>
      <c r="H53" s="12"/>
      <c r="I53" s="12"/>
      <c r="J53" s="12"/>
      <c r="K53" s="12"/>
      <c r="L53" s="12"/>
      <c r="M53" s="12"/>
      <c r="N53" s="12"/>
      <c r="O53" s="12"/>
      <c r="P53" s="12"/>
      <c r="Q53" s="12"/>
      <c r="R53" s="12"/>
      <c r="S53" s="12"/>
      <c r="T53" s="12"/>
      <c r="U53" s="12"/>
      <c r="V53" s="12"/>
      <c r="W53" s="12"/>
      <c r="X53" s="12"/>
      <c r="Y53" s="12"/>
      <c r="Z53" s="12"/>
    </row>
    <row r="54">
      <c r="A54" s="17"/>
      <c r="B54" s="20" t="s">
        <v>43</v>
      </c>
      <c r="C54" s="21" t="s">
        <v>44</v>
      </c>
      <c r="D54" s="12"/>
      <c r="E54" s="12"/>
      <c r="F54" s="12"/>
      <c r="G54" s="12"/>
      <c r="H54" s="12"/>
      <c r="I54" s="12"/>
      <c r="J54" s="12"/>
      <c r="K54" s="12"/>
      <c r="L54" s="12"/>
      <c r="M54" s="12"/>
      <c r="N54" s="12"/>
      <c r="O54" s="12"/>
      <c r="P54" s="12"/>
      <c r="Q54" s="12"/>
      <c r="R54" s="12"/>
      <c r="S54" s="12"/>
      <c r="T54" s="12"/>
      <c r="U54" s="12"/>
      <c r="V54" s="12"/>
      <c r="W54" s="12"/>
      <c r="X54" s="12"/>
      <c r="Y54" s="12"/>
      <c r="Z54" s="12"/>
    </row>
    <row r="55">
      <c r="A55" s="17"/>
      <c r="B55" s="20" t="s">
        <v>45</v>
      </c>
      <c r="C55" s="21" t="s">
        <v>46</v>
      </c>
      <c r="D55" s="12"/>
      <c r="E55" s="12"/>
      <c r="F55" s="12"/>
      <c r="G55" s="12"/>
      <c r="H55" s="12"/>
      <c r="I55" s="12"/>
      <c r="J55" s="12"/>
      <c r="K55" s="12"/>
      <c r="L55" s="12"/>
      <c r="M55" s="12"/>
      <c r="N55" s="12"/>
      <c r="O55" s="12"/>
      <c r="P55" s="12"/>
      <c r="Q55" s="12"/>
      <c r="R55" s="12"/>
      <c r="S55" s="12"/>
      <c r="T55" s="12"/>
      <c r="U55" s="12"/>
      <c r="V55" s="12"/>
      <c r="W55" s="12"/>
      <c r="X55" s="12"/>
      <c r="Y55" s="12"/>
      <c r="Z55" s="12"/>
    </row>
    <row r="56">
      <c r="A56" s="17"/>
      <c r="B56" s="20" t="s">
        <v>47</v>
      </c>
      <c r="C56" s="21" t="s">
        <v>48</v>
      </c>
      <c r="D56" s="12"/>
      <c r="E56" s="12"/>
      <c r="F56" s="12"/>
      <c r="G56" s="12"/>
      <c r="H56" s="12"/>
      <c r="I56" s="12"/>
      <c r="J56" s="12"/>
      <c r="K56" s="12"/>
      <c r="L56" s="12"/>
      <c r="M56" s="12"/>
      <c r="N56" s="12"/>
      <c r="O56" s="12"/>
      <c r="P56" s="12"/>
      <c r="Q56" s="12"/>
      <c r="R56" s="12"/>
      <c r="S56" s="12"/>
      <c r="T56" s="12"/>
      <c r="U56" s="12"/>
      <c r="V56" s="12"/>
      <c r="W56" s="12"/>
      <c r="X56" s="12"/>
      <c r="Y56" s="12"/>
      <c r="Z56" s="12"/>
    </row>
    <row r="57">
      <c r="A57" s="17"/>
      <c r="B57" s="20" t="s">
        <v>49</v>
      </c>
      <c r="C57" s="21" t="s">
        <v>50</v>
      </c>
      <c r="D57" s="12"/>
      <c r="E57" s="12"/>
      <c r="F57" s="12"/>
      <c r="G57" s="12"/>
      <c r="H57" s="12"/>
      <c r="I57" s="12"/>
      <c r="J57" s="12"/>
      <c r="K57" s="12"/>
      <c r="L57" s="12"/>
      <c r="M57" s="12"/>
      <c r="N57" s="12"/>
      <c r="O57" s="12"/>
      <c r="P57" s="12"/>
      <c r="Q57" s="12"/>
      <c r="R57" s="12"/>
      <c r="S57" s="12"/>
      <c r="T57" s="12"/>
      <c r="U57" s="12"/>
      <c r="V57" s="12"/>
      <c r="W57" s="12"/>
      <c r="X57" s="12"/>
      <c r="Y57" s="12"/>
      <c r="Z57" s="12"/>
    </row>
    <row r="58">
      <c r="A58" s="17"/>
      <c r="B58" s="20" t="s">
        <v>51</v>
      </c>
      <c r="C58" s="21" t="s">
        <v>52</v>
      </c>
      <c r="D58" s="12"/>
      <c r="E58" s="12"/>
      <c r="F58" s="12"/>
      <c r="G58" s="12"/>
      <c r="H58" s="12"/>
      <c r="I58" s="12"/>
      <c r="J58" s="12"/>
      <c r="K58" s="12"/>
      <c r="L58" s="12"/>
      <c r="M58" s="12"/>
      <c r="N58" s="12"/>
      <c r="O58" s="12"/>
      <c r="P58" s="12"/>
      <c r="Q58" s="12"/>
      <c r="R58" s="12"/>
      <c r="S58" s="12"/>
      <c r="T58" s="12"/>
      <c r="U58" s="12"/>
      <c r="V58" s="12"/>
      <c r="W58" s="12"/>
      <c r="X58" s="12"/>
      <c r="Y58" s="12"/>
      <c r="Z58" s="12"/>
    </row>
    <row r="59">
      <c r="A59" s="17"/>
      <c r="B59" s="20" t="s">
        <v>53</v>
      </c>
      <c r="C59" s="21" t="s">
        <v>54</v>
      </c>
      <c r="D59" s="12"/>
      <c r="E59" s="12"/>
      <c r="F59" s="12"/>
      <c r="G59" s="12"/>
      <c r="H59" s="12"/>
      <c r="I59" s="12"/>
      <c r="J59" s="12"/>
      <c r="K59" s="12"/>
      <c r="L59" s="12"/>
      <c r="M59" s="12"/>
      <c r="N59" s="12"/>
      <c r="O59" s="12"/>
      <c r="P59" s="12"/>
      <c r="Q59" s="12"/>
      <c r="R59" s="12"/>
      <c r="S59" s="12"/>
      <c r="T59" s="12"/>
      <c r="U59" s="12"/>
      <c r="V59" s="12"/>
      <c r="W59" s="12"/>
      <c r="X59" s="12"/>
      <c r="Y59" s="12"/>
      <c r="Z59" s="12"/>
    </row>
    <row r="60">
      <c r="A60" s="17"/>
      <c r="B60" s="20" t="s">
        <v>55</v>
      </c>
      <c r="C60" s="21" t="s">
        <v>56</v>
      </c>
      <c r="D60" s="12"/>
      <c r="E60" s="12"/>
      <c r="F60" s="12"/>
      <c r="G60" s="12"/>
      <c r="H60" s="12"/>
      <c r="I60" s="12"/>
      <c r="J60" s="12"/>
      <c r="K60" s="12"/>
      <c r="L60" s="12"/>
      <c r="M60" s="12"/>
      <c r="N60" s="12"/>
      <c r="O60" s="12"/>
      <c r="P60" s="12"/>
      <c r="Q60" s="12"/>
      <c r="R60" s="12"/>
      <c r="S60" s="12"/>
      <c r="T60" s="12"/>
      <c r="U60" s="12"/>
      <c r="V60" s="12"/>
      <c r="W60" s="12"/>
      <c r="X60" s="12"/>
      <c r="Y60" s="12"/>
      <c r="Z60" s="12"/>
    </row>
    <row r="61">
      <c r="A61" s="17"/>
      <c r="B61" s="20" t="s">
        <v>57</v>
      </c>
      <c r="C61" s="21" t="s">
        <v>58</v>
      </c>
      <c r="D61" s="12"/>
      <c r="E61" s="12"/>
      <c r="F61" s="12"/>
      <c r="G61" s="12"/>
      <c r="H61" s="12"/>
      <c r="I61" s="12"/>
      <c r="J61" s="12"/>
      <c r="K61" s="12"/>
      <c r="L61" s="12"/>
      <c r="M61" s="12"/>
      <c r="N61" s="12"/>
      <c r="O61" s="12"/>
      <c r="P61" s="12"/>
      <c r="Q61" s="12"/>
      <c r="R61" s="12"/>
      <c r="S61" s="12"/>
      <c r="T61" s="12"/>
      <c r="U61" s="12"/>
      <c r="V61" s="12"/>
      <c r="W61" s="12"/>
      <c r="X61" s="12"/>
      <c r="Y61" s="12"/>
      <c r="Z61" s="12"/>
    </row>
    <row r="62">
      <c r="B62" s="22" t="s">
        <v>59</v>
      </c>
    </row>
    <row r="64">
      <c r="B64" s="6" t="s">
        <v>60</v>
      </c>
    </row>
    <row r="65">
      <c r="B65" s="5" t="s">
        <v>61</v>
      </c>
    </row>
    <row r="66">
      <c r="B66" s="5"/>
    </row>
    <row r="67">
      <c r="B67" s="23" t="s">
        <v>62</v>
      </c>
      <c r="C67" s="23" t="s">
        <v>63</v>
      </c>
    </row>
    <row r="68">
      <c r="B68" s="22" t="s">
        <v>64</v>
      </c>
      <c r="C68" s="24" t="str">
        <f>IFERROR(__xludf.DUMMYFUNCTION("SPARKLINE((100-COUNTIF(INDIRECT(B68&amp;""!C:C""), ""TO DO""))/100+0.01,{""charttype"",""bar"";""max"",1.01;""min"",0; ""color1"", ""#4285f4""})"),"")</f>
        <v/>
      </c>
      <c r="D68" s="25" t="str">
        <f t="shared" ref="D68:D73" si="1">(100-COUNTIF(INDIRECT(B68&amp;"!C:C"), "TO DO")) &amp; " / 100"</f>
        <v>100 / 100</v>
      </c>
    </row>
    <row r="69">
      <c r="B69" s="22" t="s">
        <v>65</v>
      </c>
      <c r="C69" s="24" t="str">
        <f>IFERROR(__xludf.DUMMYFUNCTION("SPARKLINE((100-COUNTIF(INDIRECT(B69&amp;""!C:C""), ""TO DO""))/100+0.01,{""charttype"",""bar"";""max"",1.01;""min"",0; ""color1"", ""#4285f4""})"),"")</f>
        <v/>
      </c>
      <c r="D69" s="25" t="str">
        <f t="shared" si="1"/>
        <v>0 / 100</v>
      </c>
    </row>
    <row r="70">
      <c r="B70" s="22" t="s">
        <v>66</v>
      </c>
      <c r="C70" s="24" t="str">
        <f>IFERROR(__xludf.DUMMYFUNCTION("SPARKLINE((100-COUNTIF(INDIRECT(B70&amp;""!C:C""), ""TO DO""))/100+0.01,{""charttype"",""bar"";""max"",1.01;""min"",0; ""color1"", ""#4285f4""})"),"")</f>
        <v/>
      </c>
      <c r="D70" s="25" t="str">
        <f t="shared" si="1"/>
        <v>100 / 100</v>
      </c>
    </row>
    <row r="71">
      <c r="B71" s="22" t="s">
        <v>67</v>
      </c>
      <c r="C71" s="24" t="str">
        <f>IFERROR(__xludf.DUMMYFUNCTION("SPARKLINE((100-COUNTIF(INDIRECT(B71&amp;""!C:C""), ""TO DO""))/100+0.01,{""charttype"",""bar"";""max"",1.01;""min"",0; ""color1"", ""#4285f4""})"),"")</f>
        <v/>
      </c>
      <c r="D71" s="25" t="str">
        <f t="shared" si="1"/>
        <v>0 / 100</v>
      </c>
    </row>
    <row r="72">
      <c r="B72" s="22" t="s">
        <v>68</v>
      </c>
      <c r="C72" s="24" t="str">
        <f>IFERROR(__xludf.DUMMYFUNCTION("SPARKLINE((100-COUNTIF(INDIRECT(B72&amp;""!C:C""), ""TO DO""))/100+0.01,{""charttype"",""bar"";""max"",1.01;""min"",0; ""color1"", ""#4285f4""})"),"")</f>
        <v/>
      </c>
      <c r="D72" s="25" t="str">
        <f t="shared" si="1"/>
        <v>100 / 100</v>
      </c>
    </row>
    <row r="73">
      <c r="B73" s="22" t="s">
        <v>69</v>
      </c>
      <c r="C73" s="24" t="str">
        <f>IFERROR(__xludf.DUMMYFUNCTION("SPARKLINE((100-COUNTIF(INDIRECT(B73&amp;""!C:C""), ""TO DO""))/100+0.01,{""charttype"",""bar"";""max"",1.01;""min"",0; ""color1"", ""#4285f4""})"),"")</f>
        <v/>
      </c>
      <c r="D73" s="25" t="str">
        <f t="shared" si="1"/>
        <v>100 / 100</v>
      </c>
    </row>
    <row r="75">
      <c r="B75" s="26" t="s">
        <v>70</v>
      </c>
    </row>
    <row r="77">
      <c r="B77" s="6" t="s">
        <v>71</v>
      </c>
    </row>
    <row r="78">
      <c r="B78" s="5" t="s">
        <v>72</v>
      </c>
    </row>
    <row r="79">
      <c r="B79" s="5"/>
    </row>
    <row r="80">
      <c r="B80" s="5" t="s">
        <v>73</v>
      </c>
    </row>
    <row r="81">
      <c r="B81" s="5"/>
    </row>
    <row r="82">
      <c r="B82" s="27" t="s">
        <v>74</v>
      </c>
    </row>
    <row r="83">
      <c r="B83" s="5" t="s">
        <v>75</v>
      </c>
    </row>
    <row r="84">
      <c r="B84" s="5" t="s">
        <v>76</v>
      </c>
    </row>
    <row r="85">
      <c r="B85" s="5" t="s">
        <v>77</v>
      </c>
    </row>
    <row r="86">
      <c r="B86" s="5" t="s">
        <v>78</v>
      </c>
    </row>
    <row r="87">
      <c r="B87" s="5" t="s">
        <v>79</v>
      </c>
    </row>
    <row r="88">
      <c r="B88" s="5" t="s">
        <v>80</v>
      </c>
    </row>
    <row r="89">
      <c r="B89" s="5" t="s">
        <v>81</v>
      </c>
    </row>
    <row r="90">
      <c r="B90" s="5" t="s">
        <v>82</v>
      </c>
    </row>
    <row r="91">
      <c r="B91" s="5" t="s">
        <v>83</v>
      </c>
    </row>
    <row r="92">
      <c r="B92" s="5" t="s">
        <v>84</v>
      </c>
    </row>
    <row r="93">
      <c r="B93" s="5" t="s">
        <v>85</v>
      </c>
    </row>
    <row r="95">
      <c r="B95" s="27" t="s">
        <v>86</v>
      </c>
    </row>
    <row r="96">
      <c r="B96" s="28" t="s">
        <v>87</v>
      </c>
    </row>
    <row r="97">
      <c r="B97" s="29" t="s">
        <v>88</v>
      </c>
    </row>
    <row r="98">
      <c r="B98" s="28" t="s">
        <v>89</v>
      </c>
    </row>
    <row r="99">
      <c r="B99" s="28" t="s">
        <v>90</v>
      </c>
    </row>
    <row r="100">
      <c r="B100" s="28" t="s">
        <v>91</v>
      </c>
    </row>
    <row r="101">
      <c r="B101" s="28" t="s">
        <v>92</v>
      </c>
    </row>
    <row r="102">
      <c r="B102" s="28" t="s">
        <v>93</v>
      </c>
    </row>
    <row r="103">
      <c r="B103" s="28" t="s">
        <v>94</v>
      </c>
    </row>
    <row r="104">
      <c r="B104" s="13"/>
    </row>
    <row r="105">
      <c r="B105" s="13"/>
    </row>
    <row r="106">
      <c r="B106" s="13"/>
    </row>
  </sheetData>
  <dataValidations>
    <dataValidation type="list" allowBlank="1" showErrorMessage="1" sqref="B18:B20">
      <formula1>"TRUE,FALSE,SKIP"</formula1>
    </dataValidation>
  </dataValidations>
  <hyperlinks>
    <hyperlink r:id="rId1" ref="B62"/>
    <hyperlink display="Finn" location="Finn!A1" ref="B68"/>
    <hyperlink display="Gib" location="Gib!A1" ref="B69"/>
    <hyperlink display="Ivan" location="Ivan!A1" ref="B70"/>
    <hyperlink display="Jean-Baptiste" location="'Jean-Baptiste'!A1" ref="B71"/>
    <hyperlink display="Meike" location="Meike!A1" ref="B72"/>
    <hyperlink display="Steve" location="Steve!A1" ref="B7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34.63"/>
  </cols>
  <sheetData>
    <row r="1">
      <c r="A1" s="30" t="s">
        <v>95</v>
      </c>
      <c r="B1" s="31" t="s">
        <v>96</v>
      </c>
      <c r="C1" s="32" t="s">
        <v>97</v>
      </c>
      <c r="D1" s="23" t="s">
        <v>98</v>
      </c>
    </row>
    <row r="2">
      <c r="A2" s="33" t="s">
        <v>99</v>
      </c>
      <c r="B2" s="34" t="s">
        <v>100</v>
      </c>
      <c r="C2" s="35" t="b">
        <v>0</v>
      </c>
    </row>
    <row r="3">
      <c r="A3" s="33" t="s">
        <v>101</v>
      </c>
      <c r="B3" s="34" t="s">
        <v>102</v>
      </c>
      <c r="C3" s="35" t="b">
        <v>0</v>
      </c>
    </row>
    <row r="4">
      <c r="A4" s="33" t="s">
        <v>103</v>
      </c>
      <c r="B4" s="34" t="s">
        <v>104</v>
      </c>
      <c r="C4" s="35" t="b">
        <v>0</v>
      </c>
    </row>
    <row r="5">
      <c r="A5" s="33" t="s">
        <v>105</v>
      </c>
      <c r="B5" s="34" t="s">
        <v>106</v>
      </c>
      <c r="C5" s="35" t="b">
        <v>1</v>
      </c>
    </row>
    <row r="6">
      <c r="A6" s="33" t="s">
        <v>107</v>
      </c>
      <c r="B6" s="34" t="s">
        <v>108</v>
      </c>
      <c r="C6" s="35" t="b">
        <v>0</v>
      </c>
    </row>
    <row r="7">
      <c r="A7" s="33" t="s">
        <v>109</v>
      </c>
      <c r="B7" s="34" t="s">
        <v>110</v>
      </c>
      <c r="C7" s="35" t="b">
        <v>1</v>
      </c>
      <c r="D7" s="5" t="s">
        <v>111</v>
      </c>
    </row>
    <row r="8">
      <c r="A8" s="33" t="s">
        <v>112</v>
      </c>
      <c r="B8" s="34" t="s">
        <v>113</v>
      </c>
      <c r="C8" s="35" t="b">
        <v>1</v>
      </c>
    </row>
    <row r="9">
      <c r="A9" s="33" t="s">
        <v>114</v>
      </c>
      <c r="B9" s="34" t="s">
        <v>115</v>
      </c>
      <c r="C9" s="35" t="b">
        <v>1</v>
      </c>
    </row>
    <row r="10">
      <c r="A10" s="33" t="s">
        <v>116</v>
      </c>
      <c r="B10" s="34" t="s">
        <v>117</v>
      </c>
      <c r="C10" s="35" t="b">
        <v>0</v>
      </c>
    </row>
    <row r="11">
      <c r="A11" s="33" t="s">
        <v>118</v>
      </c>
      <c r="B11" s="34" t="s">
        <v>119</v>
      </c>
      <c r="C11" s="35" t="b">
        <v>1</v>
      </c>
    </row>
    <row r="12">
      <c r="A12" s="33" t="s">
        <v>120</v>
      </c>
      <c r="B12" s="34" t="s">
        <v>121</v>
      </c>
      <c r="C12" s="35" t="b">
        <v>0</v>
      </c>
    </row>
    <row r="13">
      <c r="A13" s="33" t="s">
        <v>122</v>
      </c>
      <c r="B13" s="34" t="s">
        <v>123</v>
      </c>
      <c r="C13" s="35" t="b">
        <v>1</v>
      </c>
      <c r="D13" s="5" t="s">
        <v>124</v>
      </c>
    </row>
    <row r="14">
      <c r="A14" s="33" t="s">
        <v>125</v>
      </c>
      <c r="B14" s="34" t="s">
        <v>126</v>
      </c>
      <c r="C14" s="35" t="b">
        <v>1</v>
      </c>
    </row>
    <row r="15">
      <c r="A15" s="33" t="s">
        <v>127</v>
      </c>
      <c r="B15" s="34" t="s">
        <v>128</v>
      </c>
      <c r="C15" s="35" t="b">
        <v>1</v>
      </c>
      <c r="D15" s="5" t="s">
        <v>124</v>
      </c>
    </row>
    <row r="16">
      <c r="A16" s="33" t="s">
        <v>129</v>
      </c>
      <c r="B16" s="34" t="s">
        <v>130</v>
      </c>
      <c r="C16" s="35" t="b">
        <v>1</v>
      </c>
    </row>
    <row r="17">
      <c r="A17" s="33" t="s">
        <v>131</v>
      </c>
      <c r="B17" s="34" t="s">
        <v>132</v>
      </c>
      <c r="C17" s="35" t="b">
        <v>0</v>
      </c>
    </row>
    <row r="18">
      <c r="A18" s="33" t="s">
        <v>133</v>
      </c>
      <c r="B18" s="34" t="s">
        <v>134</v>
      </c>
      <c r="C18" s="35" t="b">
        <v>1</v>
      </c>
    </row>
    <row r="19">
      <c r="A19" s="33" t="s">
        <v>135</v>
      </c>
      <c r="B19" s="34" t="s">
        <v>136</v>
      </c>
      <c r="C19" s="35" t="b">
        <v>0</v>
      </c>
    </row>
    <row r="20">
      <c r="A20" s="33" t="s">
        <v>137</v>
      </c>
      <c r="B20" s="34" t="s">
        <v>138</v>
      </c>
      <c r="C20" s="35" t="b">
        <v>1</v>
      </c>
    </row>
    <row r="21">
      <c r="A21" s="33" t="s">
        <v>139</v>
      </c>
      <c r="B21" s="34" t="s">
        <v>140</v>
      </c>
      <c r="C21" s="35" t="b">
        <v>1</v>
      </c>
    </row>
    <row r="22">
      <c r="A22" s="33" t="s">
        <v>141</v>
      </c>
      <c r="B22" s="34" t="s">
        <v>142</v>
      </c>
      <c r="C22" s="35" t="b">
        <v>1</v>
      </c>
    </row>
    <row r="23">
      <c r="A23" s="33" t="s">
        <v>143</v>
      </c>
      <c r="B23" s="34" t="s">
        <v>144</v>
      </c>
      <c r="C23" s="35" t="b">
        <v>1</v>
      </c>
    </row>
    <row r="24">
      <c r="A24" s="33" t="s">
        <v>145</v>
      </c>
      <c r="B24" s="34" t="s">
        <v>146</v>
      </c>
      <c r="C24" s="35" t="b">
        <v>0</v>
      </c>
    </row>
    <row r="25">
      <c r="A25" s="33" t="s">
        <v>147</v>
      </c>
      <c r="B25" s="34" t="s">
        <v>148</v>
      </c>
      <c r="C25" s="35" t="b">
        <v>0</v>
      </c>
    </row>
    <row r="26">
      <c r="A26" s="33" t="s">
        <v>149</v>
      </c>
      <c r="B26" s="34" t="s">
        <v>150</v>
      </c>
      <c r="C26" s="35" t="b">
        <v>0</v>
      </c>
      <c r="D26" s="5" t="s">
        <v>151</v>
      </c>
    </row>
    <row r="27">
      <c r="A27" s="33" t="s">
        <v>152</v>
      </c>
      <c r="B27" s="34" t="s">
        <v>153</v>
      </c>
      <c r="C27" s="35" t="b">
        <v>1</v>
      </c>
      <c r="D27" s="5" t="s">
        <v>154</v>
      </c>
    </row>
    <row r="28">
      <c r="A28" s="33" t="s">
        <v>155</v>
      </c>
      <c r="B28" s="34" t="s">
        <v>156</v>
      </c>
      <c r="C28" s="35" t="b">
        <v>0</v>
      </c>
    </row>
    <row r="29">
      <c r="A29" s="33" t="s">
        <v>157</v>
      </c>
      <c r="B29" s="34" t="s">
        <v>158</v>
      </c>
      <c r="C29" s="35" t="b">
        <v>0</v>
      </c>
    </row>
    <row r="30">
      <c r="A30" s="33" t="s">
        <v>159</v>
      </c>
      <c r="B30" s="34" t="s">
        <v>160</v>
      </c>
      <c r="C30" s="35" t="b">
        <v>0</v>
      </c>
    </row>
    <row r="31">
      <c r="A31" s="33" t="s">
        <v>161</v>
      </c>
      <c r="B31" s="34" t="s">
        <v>162</v>
      </c>
      <c r="C31" s="35" t="b">
        <v>1</v>
      </c>
    </row>
    <row r="32">
      <c r="A32" s="33" t="s">
        <v>163</v>
      </c>
      <c r="B32" s="34" t="s">
        <v>164</v>
      </c>
      <c r="C32" s="35" t="b">
        <v>0</v>
      </c>
    </row>
    <row r="33">
      <c r="A33" s="33" t="s">
        <v>165</v>
      </c>
      <c r="B33" s="34" t="s">
        <v>166</v>
      </c>
      <c r="C33" s="35" t="b">
        <v>0</v>
      </c>
    </row>
    <row r="34">
      <c r="A34" s="33" t="s">
        <v>167</v>
      </c>
      <c r="B34" s="34" t="s">
        <v>168</v>
      </c>
      <c r="C34" s="35" t="b">
        <v>1</v>
      </c>
    </row>
    <row r="35">
      <c r="A35" s="33" t="s">
        <v>169</v>
      </c>
      <c r="B35" s="34" t="s">
        <v>170</v>
      </c>
      <c r="C35" s="35" t="b">
        <v>1</v>
      </c>
    </row>
    <row r="36">
      <c r="A36" s="33" t="s">
        <v>171</v>
      </c>
      <c r="B36" s="34" t="s">
        <v>172</v>
      </c>
      <c r="C36" s="35" t="b">
        <v>1</v>
      </c>
    </row>
    <row r="37">
      <c r="A37" s="33" t="s">
        <v>173</v>
      </c>
      <c r="B37" s="34" t="s">
        <v>174</v>
      </c>
      <c r="C37" s="35" t="b">
        <v>1</v>
      </c>
    </row>
    <row r="38">
      <c r="A38" s="33" t="s">
        <v>175</v>
      </c>
      <c r="B38" s="34" t="s">
        <v>176</v>
      </c>
      <c r="C38" s="35" t="b">
        <v>1</v>
      </c>
    </row>
    <row r="39">
      <c r="A39" s="33" t="s">
        <v>177</v>
      </c>
      <c r="B39" s="34" t="s">
        <v>178</v>
      </c>
      <c r="C39" s="35" t="b">
        <v>1</v>
      </c>
    </row>
    <row r="40">
      <c r="A40" s="33" t="s">
        <v>179</v>
      </c>
      <c r="B40" s="34" t="s">
        <v>180</v>
      </c>
      <c r="C40" s="35" t="b">
        <v>0</v>
      </c>
    </row>
    <row r="41">
      <c r="A41" s="33" t="s">
        <v>181</v>
      </c>
      <c r="B41" s="34" t="s">
        <v>182</v>
      </c>
      <c r="C41" s="35" t="b">
        <v>1</v>
      </c>
    </row>
    <row r="42">
      <c r="A42" s="33" t="s">
        <v>183</v>
      </c>
      <c r="B42" s="34" t="s">
        <v>184</v>
      </c>
      <c r="C42" s="35" t="b">
        <v>0</v>
      </c>
    </row>
    <row r="43">
      <c r="A43" s="33" t="s">
        <v>185</v>
      </c>
      <c r="B43" s="34" t="s">
        <v>186</v>
      </c>
      <c r="C43" s="35" t="b">
        <v>1</v>
      </c>
    </row>
    <row r="44">
      <c r="A44" s="33" t="s">
        <v>187</v>
      </c>
      <c r="B44" s="34" t="s">
        <v>188</v>
      </c>
      <c r="C44" s="35" t="b">
        <v>1</v>
      </c>
    </row>
    <row r="45">
      <c r="A45" s="33" t="s">
        <v>189</v>
      </c>
      <c r="B45" s="34" t="s">
        <v>190</v>
      </c>
      <c r="C45" s="35" t="b">
        <v>1</v>
      </c>
    </row>
    <row r="46">
      <c r="A46" s="33" t="s">
        <v>191</v>
      </c>
      <c r="B46" s="34" t="s">
        <v>192</v>
      </c>
      <c r="C46" s="35" t="b">
        <v>1</v>
      </c>
    </row>
    <row r="47">
      <c r="A47" s="33" t="s">
        <v>193</v>
      </c>
      <c r="B47" s="34" t="s">
        <v>194</v>
      </c>
      <c r="C47" s="35" t="b">
        <v>1</v>
      </c>
    </row>
    <row r="48">
      <c r="A48" s="33" t="s">
        <v>195</v>
      </c>
      <c r="B48" s="34" t="s">
        <v>196</v>
      </c>
      <c r="C48" s="35" t="b">
        <v>1</v>
      </c>
    </row>
    <row r="49">
      <c r="A49" s="33" t="s">
        <v>197</v>
      </c>
      <c r="B49" s="34" t="s">
        <v>198</v>
      </c>
      <c r="C49" s="35" t="b">
        <v>0</v>
      </c>
    </row>
    <row r="50">
      <c r="A50" s="33" t="s">
        <v>199</v>
      </c>
      <c r="B50" s="34" t="s">
        <v>200</v>
      </c>
      <c r="C50" s="35" t="b">
        <v>1</v>
      </c>
    </row>
    <row r="51">
      <c r="A51" s="33" t="s">
        <v>201</v>
      </c>
      <c r="B51" s="34" t="s">
        <v>202</v>
      </c>
      <c r="C51" s="35" t="b">
        <v>1</v>
      </c>
    </row>
    <row r="52">
      <c r="A52" s="33" t="s">
        <v>203</v>
      </c>
      <c r="B52" s="34" t="s">
        <v>204</v>
      </c>
      <c r="C52" s="35" t="b">
        <v>1</v>
      </c>
    </row>
    <row r="53">
      <c r="A53" s="33" t="s">
        <v>205</v>
      </c>
      <c r="B53" s="34" t="s">
        <v>206</v>
      </c>
      <c r="C53" s="35" t="b">
        <v>1</v>
      </c>
    </row>
    <row r="54">
      <c r="A54" s="33" t="s">
        <v>207</v>
      </c>
      <c r="B54" s="34" t="s">
        <v>208</v>
      </c>
      <c r="C54" s="35" t="b">
        <v>1</v>
      </c>
    </row>
    <row r="55">
      <c r="A55" s="33" t="s">
        <v>209</v>
      </c>
      <c r="B55" s="34" t="s">
        <v>210</v>
      </c>
      <c r="C55" s="35" t="b">
        <v>1</v>
      </c>
      <c r="D55" s="5" t="s">
        <v>211</v>
      </c>
    </row>
    <row r="56">
      <c r="A56" s="33" t="s">
        <v>212</v>
      </c>
      <c r="B56" s="34" t="s">
        <v>213</v>
      </c>
      <c r="C56" s="35" t="b">
        <v>0</v>
      </c>
    </row>
    <row r="57">
      <c r="A57" s="33" t="s">
        <v>214</v>
      </c>
      <c r="B57" s="34" t="s">
        <v>215</v>
      </c>
      <c r="C57" s="35" t="b">
        <v>0</v>
      </c>
    </row>
    <row r="58">
      <c r="A58" s="33" t="s">
        <v>216</v>
      </c>
      <c r="B58" s="34" t="s">
        <v>217</v>
      </c>
      <c r="C58" s="35" t="b">
        <v>1</v>
      </c>
    </row>
    <row r="59">
      <c r="A59" s="33" t="s">
        <v>218</v>
      </c>
      <c r="B59" s="34" t="s">
        <v>219</v>
      </c>
      <c r="C59" s="35" t="b">
        <v>1</v>
      </c>
    </row>
    <row r="60">
      <c r="A60" s="33" t="s">
        <v>220</v>
      </c>
      <c r="B60" s="34" t="s">
        <v>221</v>
      </c>
      <c r="C60" s="35" t="b">
        <v>1</v>
      </c>
    </row>
    <row r="61">
      <c r="A61" s="33" t="s">
        <v>222</v>
      </c>
      <c r="B61" s="34" t="s">
        <v>223</v>
      </c>
      <c r="C61" s="35" t="b">
        <v>1</v>
      </c>
    </row>
    <row r="62">
      <c r="A62" s="33" t="s">
        <v>224</v>
      </c>
      <c r="B62" s="34" t="s">
        <v>225</v>
      </c>
      <c r="C62" s="35" t="b">
        <v>1</v>
      </c>
    </row>
    <row r="63">
      <c r="A63" s="33" t="s">
        <v>226</v>
      </c>
      <c r="B63" s="34" t="s">
        <v>227</v>
      </c>
      <c r="C63" s="35" t="b">
        <v>1</v>
      </c>
      <c r="D63" s="5" t="s">
        <v>228</v>
      </c>
    </row>
    <row r="64">
      <c r="A64" s="33" t="s">
        <v>229</v>
      </c>
      <c r="B64" s="34" t="s">
        <v>230</v>
      </c>
      <c r="C64" s="35" t="b">
        <v>0</v>
      </c>
    </row>
    <row r="65">
      <c r="A65" s="33" t="s">
        <v>231</v>
      </c>
      <c r="B65" s="34" t="s">
        <v>232</v>
      </c>
      <c r="C65" s="35" t="b">
        <v>1</v>
      </c>
    </row>
    <row r="66">
      <c r="A66" s="33" t="s">
        <v>233</v>
      </c>
      <c r="B66" s="34" t="s">
        <v>234</v>
      </c>
      <c r="C66" s="35" t="b">
        <v>1</v>
      </c>
      <c r="D66" s="5" t="s">
        <v>235</v>
      </c>
    </row>
    <row r="67">
      <c r="A67" s="33" t="s">
        <v>236</v>
      </c>
      <c r="B67" s="34" t="s">
        <v>237</v>
      </c>
      <c r="C67" s="35" t="b">
        <v>0</v>
      </c>
    </row>
    <row r="68">
      <c r="A68" s="33" t="s">
        <v>238</v>
      </c>
      <c r="B68" s="34" t="s">
        <v>239</v>
      </c>
      <c r="C68" s="35" t="s">
        <v>14</v>
      </c>
      <c r="D68" s="5" t="s">
        <v>240</v>
      </c>
    </row>
    <row r="69">
      <c r="A69" s="33" t="s">
        <v>241</v>
      </c>
      <c r="B69" s="34" t="s">
        <v>242</v>
      </c>
      <c r="C69" s="35" t="b">
        <v>0</v>
      </c>
    </row>
    <row r="70">
      <c r="A70" s="33" t="s">
        <v>243</v>
      </c>
      <c r="B70" s="34" t="s">
        <v>244</v>
      </c>
      <c r="C70" s="35" t="b">
        <v>0</v>
      </c>
    </row>
    <row r="71">
      <c r="A71" s="33" t="s">
        <v>245</v>
      </c>
      <c r="B71" s="34" t="s">
        <v>246</v>
      </c>
      <c r="C71" s="35" t="s">
        <v>14</v>
      </c>
    </row>
    <row r="72">
      <c r="A72" s="33" t="s">
        <v>247</v>
      </c>
      <c r="B72" s="34" t="s">
        <v>248</v>
      </c>
      <c r="C72" s="35" t="b">
        <v>1</v>
      </c>
    </row>
    <row r="73">
      <c r="A73" s="33" t="s">
        <v>249</v>
      </c>
      <c r="B73" s="34" t="s">
        <v>250</v>
      </c>
      <c r="C73" s="35" t="b">
        <v>1</v>
      </c>
    </row>
    <row r="74">
      <c r="A74" s="33" t="s">
        <v>251</v>
      </c>
      <c r="B74" s="34" t="s">
        <v>252</v>
      </c>
      <c r="C74" s="35" t="b">
        <v>1</v>
      </c>
    </row>
    <row r="75">
      <c r="A75" s="33" t="s">
        <v>253</v>
      </c>
      <c r="B75" s="34" t="s">
        <v>254</v>
      </c>
      <c r="C75" s="35" t="b">
        <v>1</v>
      </c>
    </row>
    <row r="76">
      <c r="A76" s="33" t="s">
        <v>255</v>
      </c>
      <c r="B76" s="34" t="s">
        <v>256</v>
      </c>
      <c r="C76" s="35" t="b">
        <v>1</v>
      </c>
    </row>
    <row r="77">
      <c r="A77" s="33" t="s">
        <v>257</v>
      </c>
      <c r="B77" s="34" t="s">
        <v>258</v>
      </c>
      <c r="C77" s="35" t="b">
        <v>0</v>
      </c>
    </row>
    <row r="78">
      <c r="A78" s="33" t="s">
        <v>259</v>
      </c>
      <c r="B78" s="34" t="s">
        <v>260</v>
      </c>
      <c r="C78" s="35" t="b">
        <v>0</v>
      </c>
    </row>
    <row r="79">
      <c r="A79" s="33" t="s">
        <v>261</v>
      </c>
      <c r="B79" s="34" t="s">
        <v>262</v>
      </c>
      <c r="C79" s="35" t="b">
        <v>1</v>
      </c>
    </row>
    <row r="80">
      <c r="A80" s="33" t="s">
        <v>263</v>
      </c>
      <c r="B80" s="34" t="s">
        <v>264</v>
      </c>
      <c r="C80" s="35" t="b">
        <v>1</v>
      </c>
    </row>
    <row r="81">
      <c r="A81" s="33" t="s">
        <v>265</v>
      </c>
      <c r="B81" s="34" t="s">
        <v>266</v>
      </c>
      <c r="C81" s="35" t="b">
        <v>1</v>
      </c>
    </row>
    <row r="82">
      <c r="A82" s="33" t="s">
        <v>267</v>
      </c>
      <c r="B82" s="34" t="s">
        <v>268</v>
      </c>
      <c r="C82" s="35" t="b">
        <v>1</v>
      </c>
    </row>
    <row r="83">
      <c r="A83" s="33" t="s">
        <v>269</v>
      </c>
      <c r="B83" s="34" t="s">
        <v>270</v>
      </c>
      <c r="C83" s="35" t="b">
        <v>0</v>
      </c>
    </row>
    <row r="84">
      <c r="A84" s="33" t="s">
        <v>271</v>
      </c>
      <c r="B84" s="34" t="s">
        <v>272</v>
      </c>
      <c r="C84" s="35" t="b">
        <v>0</v>
      </c>
    </row>
    <row r="85">
      <c r="A85" s="33" t="s">
        <v>273</v>
      </c>
      <c r="B85" s="34" t="s">
        <v>274</v>
      </c>
      <c r="C85" s="35" t="b">
        <v>0</v>
      </c>
    </row>
    <row r="86">
      <c r="A86" s="33" t="s">
        <v>275</v>
      </c>
      <c r="B86" s="34" t="s">
        <v>276</v>
      </c>
      <c r="C86" s="35" t="b">
        <v>1</v>
      </c>
      <c r="D86" s="5" t="s">
        <v>277</v>
      </c>
    </row>
    <row r="87">
      <c r="A87" s="33" t="s">
        <v>278</v>
      </c>
      <c r="B87" s="34" t="s">
        <v>279</v>
      </c>
      <c r="C87" s="35" t="b">
        <v>1</v>
      </c>
      <c r="D87" s="5" t="s">
        <v>280</v>
      </c>
    </row>
    <row r="88">
      <c r="A88" s="33" t="s">
        <v>281</v>
      </c>
      <c r="B88" s="34" t="s">
        <v>282</v>
      </c>
      <c r="C88" s="35" t="b">
        <v>1</v>
      </c>
    </row>
    <row r="89">
      <c r="A89" s="33" t="s">
        <v>283</v>
      </c>
      <c r="B89" s="34" t="s">
        <v>284</v>
      </c>
      <c r="C89" s="35" t="b">
        <v>0</v>
      </c>
    </row>
    <row r="90">
      <c r="A90" s="33" t="s">
        <v>285</v>
      </c>
      <c r="B90" s="34" t="s">
        <v>286</v>
      </c>
      <c r="C90" s="35" t="b">
        <v>0</v>
      </c>
    </row>
    <row r="91">
      <c r="A91" s="33" t="s">
        <v>287</v>
      </c>
      <c r="B91" s="34" t="s">
        <v>288</v>
      </c>
      <c r="C91" s="35" t="b">
        <v>0</v>
      </c>
    </row>
    <row r="92">
      <c r="A92" s="33" t="s">
        <v>289</v>
      </c>
      <c r="B92" s="34" t="s">
        <v>290</v>
      </c>
      <c r="C92" s="35" t="b">
        <v>1</v>
      </c>
      <c r="D92" s="5" t="s">
        <v>291</v>
      </c>
    </row>
    <row r="93">
      <c r="A93" s="33" t="s">
        <v>292</v>
      </c>
      <c r="B93" s="34" t="s">
        <v>293</v>
      </c>
      <c r="C93" s="35" t="b">
        <v>1</v>
      </c>
    </row>
    <row r="94">
      <c r="A94" s="33" t="s">
        <v>294</v>
      </c>
      <c r="B94" s="34" t="s">
        <v>295</v>
      </c>
      <c r="C94" s="35" t="b">
        <v>0</v>
      </c>
    </row>
    <row r="95">
      <c r="A95" s="33" t="s">
        <v>296</v>
      </c>
      <c r="B95" s="34" t="s">
        <v>297</v>
      </c>
      <c r="C95" s="35" t="b">
        <v>1</v>
      </c>
      <c r="D95" s="5" t="s">
        <v>298</v>
      </c>
    </row>
    <row r="96">
      <c r="A96" s="33" t="s">
        <v>299</v>
      </c>
      <c r="B96" s="34" t="s">
        <v>300</v>
      </c>
      <c r="C96" s="35" t="b">
        <v>0</v>
      </c>
    </row>
    <row r="97">
      <c r="A97" s="33" t="s">
        <v>301</v>
      </c>
      <c r="B97" s="34" t="s">
        <v>302</v>
      </c>
      <c r="C97" s="35" t="b">
        <v>0</v>
      </c>
    </row>
    <row r="98">
      <c r="A98" s="33" t="s">
        <v>303</v>
      </c>
      <c r="B98" s="34" t="s">
        <v>304</v>
      </c>
      <c r="C98" s="35" t="b">
        <v>0</v>
      </c>
    </row>
    <row r="99">
      <c r="A99" s="33" t="s">
        <v>305</v>
      </c>
      <c r="B99" s="34" t="s">
        <v>306</v>
      </c>
      <c r="C99" s="35" t="b">
        <v>1</v>
      </c>
      <c r="D99" s="5" t="s">
        <v>307</v>
      </c>
    </row>
    <row r="100">
      <c r="A100" s="33" t="s">
        <v>308</v>
      </c>
      <c r="B100" s="34" t="s">
        <v>309</v>
      </c>
      <c r="C100" s="35" t="b">
        <v>0</v>
      </c>
    </row>
    <row r="101">
      <c r="A101" s="33" t="s">
        <v>310</v>
      </c>
      <c r="B101" s="34" t="s">
        <v>311</v>
      </c>
      <c r="C101" s="35" t="b">
        <v>0</v>
      </c>
    </row>
  </sheetData>
  <dataValidations>
    <dataValidation type="list" allowBlank="1" showErrorMessage="1" sqref="C2:C101">
      <formula1>"TO DO,TRUE,FALSE,SKIP"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30" t="s">
        <v>95</v>
      </c>
      <c r="B1" s="31" t="s">
        <v>96</v>
      </c>
      <c r="C1" s="32" t="s">
        <v>97</v>
      </c>
      <c r="D1" s="23" t="s">
        <v>98</v>
      </c>
    </row>
    <row r="2">
      <c r="A2" s="33" t="s">
        <v>299</v>
      </c>
      <c r="B2" s="34" t="s">
        <v>300</v>
      </c>
      <c r="C2" s="35" t="s">
        <v>312</v>
      </c>
    </row>
    <row r="3">
      <c r="A3" s="33" t="s">
        <v>131</v>
      </c>
      <c r="B3" s="34" t="s">
        <v>132</v>
      </c>
      <c r="C3" s="35" t="s">
        <v>312</v>
      </c>
    </row>
    <row r="4">
      <c r="A4" s="33" t="s">
        <v>171</v>
      </c>
      <c r="B4" s="34" t="s">
        <v>172</v>
      </c>
      <c r="C4" s="35" t="s">
        <v>312</v>
      </c>
    </row>
    <row r="5">
      <c r="A5" s="33" t="s">
        <v>267</v>
      </c>
      <c r="B5" s="34" t="s">
        <v>268</v>
      </c>
      <c r="C5" s="35" t="s">
        <v>312</v>
      </c>
    </row>
    <row r="6">
      <c r="A6" s="33" t="s">
        <v>199</v>
      </c>
      <c r="B6" s="34" t="s">
        <v>200</v>
      </c>
      <c r="C6" s="35" t="s">
        <v>312</v>
      </c>
    </row>
    <row r="7">
      <c r="A7" s="33" t="s">
        <v>269</v>
      </c>
      <c r="B7" s="34" t="s">
        <v>270</v>
      </c>
      <c r="C7" s="35" t="s">
        <v>312</v>
      </c>
    </row>
    <row r="8">
      <c r="A8" s="33" t="s">
        <v>283</v>
      </c>
      <c r="B8" s="34" t="s">
        <v>284</v>
      </c>
      <c r="C8" s="35" t="s">
        <v>312</v>
      </c>
    </row>
    <row r="9">
      <c r="A9" s="33" t="s">
        <v>133</v>
      </c>
      <c r="B9" s="34" t="s">
        <v>134</v>
      </c>
      <c r="C9" s="35" t="s">
        <v>312</v>
      </c>
    </row>
    <row r="10">
      <c r="A10" s="33" t="s">
        <v>220</v>
      </c>
      <c r="B10" s="34" t="s">
        <v>221</v>
      </c>
      <c r="C10" s="35" t="s">
        <v>312</v>
      </c>
    </row>
    <row r="11">
      <c r="A11" s="33" t="s">
        <v>135</v>
      </c>
      <c r="B11" s="34" t="s">
        <v>136</v>
      </c>
      <c r="C11" s="35" t="s">
        <v>312</v>
      </c>
    </row>
    <row r="12">
      <c r="A12" s="33" t="s">
        <v>116</v>
      </c>
      <c r="B12" s="34" t="s">
        <v>117</v>
      </c>
      <c r="C12" s="35" t="s">
        <v>312</v>
      </c>
    </row>
    <row r="13">
      <c r="A13" s="33" t="s">
        <v>197</v>
      </c>
      <c r="B13" s="34" t="s">
        <v>198</v>
      </c>
      <c r="C13" s="35" t="s">
        <v>312</v>
      </c>
    </row>
    <row r="14">
      <c r="A14" s="33" t="s">
        <v>245</v>
      </c>
      <c r="B14" s="34" t="s">
        <v>246</v>
      </c>
      <c r="C14" s="35" t="s">
        <v>312</v>
      </c>
    </row>
    <row r="15">
      <c r="A15" s="33" t="s">
        <v>257</v>
      </c>
      <c r="B15" s="34" t="s">
        <v>258</v>
      </c>
      <c r="C15" s="35" t="s">
        <v>312</v>
      </c>
    </row>
    <row r="16">
      <c r="A16" s="33" t="s">
        <v>296</v>
      </c>
      <c r="B16" s="34" t="s">
        <v>297</v>
      </c>
      <c r="C16" s="35" t="s">
        <v>312</v>
      </c>
    </row>
    <row r="17">
      <c r="A17" s="33" t="s">
        <v>229</v>
      </c>
      <c r="B17" s="34" t="s">
        <v>230</v>
      </c>
      <c r="C17" s="35" t="s">
        <v>312</v>
      </c>
    </row>
    <row r="18">
      <c r="A18" s="33" t="s">
        <v>163</v>
      </c>
      <c r="B18" s="34" t="s">
        <v>164</v>
      </c>
      <c r="C18" s="35" t="s">
        <v>312</v>
      </c>
    </row>
    <row r="19">
      <c r="A19" s="33" t="s">
        <v>125</v>
      </c>
      <c r="B19" s="34" t="s">
        <v>126</v>
      </c>
      <c r="C19" s="35" t="s">
        <v>312</v>
      </c>
    </row>
    <row r="20">
      <c r="A20" s="33" t="s">
        <v>183</v>
      </c>
      <c r="B20" s="34" t="s">
        <v>184</v>
      </c>
      <c r="C20" s="35" t="s">
        <v>312</v>
      </c>
    </row>
    <row r="21">
      <c r="A21" s="33" t="s">
        <v>181</v>
      </c>
      <c r="B21" s="34" t="s">
        <v>182</v>
      </c>
      <c r="C21" s="35" t="s">
        <v>312</v>
      </c>
    </row>
    <row r="22">
      <c r="A22" s="33" t="s">
        <v>105</v>
      </c>
      <c r="B22" s="34" t="s">
        <v>106</v>
      </c>
      <c r="C22" s="35" t="s">
        <v>312</v>
      </c>
    </row>
    <row r="23">
      <c r="A23" s="33" t="s">
        <v>287</v>
      </c>
      <c r="B23" s="34" t="s">
        <v>288</v>
      </c>
      <c r="C23" s="35" t="s">
        <v>312</v>
      </c>
    </row>
    <row r="24">
      <c r="A24" s="33" t="s">
        <v>243</v>
      </c>
      <c r="B24" s="34" t="s">
        <v>244</v>
      </c>
      <c r="C24" s="35" t="s">
        <v>312</v>
      </c>
    </row>
    <row r="25">
      <c r="A25" s="33" t="s">
        <v>191</v>
      </c>
      <c r="B25" s="34" t="s">
        <v>192</v>
      </c>
      <c r="C25" s="35" t="s">
        <v>312</v>
      </c>
    </row>
    <row r="26">
      <c r="A26" s="33" t="s">
        <v>122</v>
      </c>
      <c r="B26" s="34" t="s">
        <v>123</v>
      </c>
      <c r="C26" s="35" t="s">
        <v>312</v>
      </c>
    </row>
    <row r="27">
      <c r="A27" s="33" t="s">
        <v>238</v>
      </c>
      <c r="B27" s="34" t="s">
        <v>239</v>
      </c>
      <c r="C27" s="35" t="s">
        <v>312</v>
      </c>
    </row>
    <row r="28">
      <c r="A28" s="33" t="s">
        <v>207</v>
      </c>
      <c r="B28" s="34" t="s">
        <v>208</v>
      </c>
      <c r="C28" s="35" t="s">
        <v>312</v>
      </c>
    </row>
    <row r="29">
      <c r="A29" s="33" t="s">
        <v>265</v>
      </c>
      <c r="B29" s="34" t="s">
        <v>266</v>
      </c>
      <c r="C29" s="35" t="s">
        <v>312</v>
      </c>
    </row>
    <row r="30">
      <c r="A30" s="33" t="s">
        <v>294</v>
      </c>
      <c r="B30" s="34" t="s">
        <v>295</v>
      </c>
      <c r="C30" s="35" t="s">
        <v>312</v>
      </c>
    </row>
    <row r="31">
      <c r="A31" s="33" t="s">
        <v>275</v>
      </c>
      <c r="B31" s="34" t="s">
        <v>276</v>
      </c>
      <c r="C31" s="35" t="s">
        <v>312</v>
      </c>
    </row>
    <row r="32">
      <c r="A32" s="33" t="s">
        <v>310</v>
      </c>
      <c r="B32" s="34" t="s">
        <v>311</v>
      </c>
      <c r="C32" s="35" t="s">
        <v>312</v>
      </c>
    </row>
    <row r="33">
      <c r="A33" s="33" t="s">
        <v>308</v>
      </c>
      <c r="B33" s="34" t="s">
        <v>309</v>
      </c>
      <c r="C33" s="35" t="s">
        <v>312</v>
      </c>
    </row>
    <row r="34">
      <c r="A34" s="33" t="s">
        <v>205</v>
      </c>
      <c r="B34" s="34" t="s">
        <v>206</v>
      </c>
      <c r="C34" s="35" t="s">
        <v>312</v>
      </c>
    </row>
    <row r="35">
      <c r="A35" s="33" t="s">
        <v>145</v>
      </c>
      <c r="B35" s="34" t="s">
        <v>146</v>
      </c>
      <c r="C35" s="35" t="s">
        <v>312</v>
      </c>
    </row>
    <row r="36">
      <c r="A36" s="33" t="s">
        <v>203</v>
      </c>
      <c r="B36" s="34" t="s">
        <v>204</v>
      </c>
      <c r="C36" s="35" t="s">
        <v>312</v>
      </c>
    </row>
    <row r="37">
      <c r="A37" s="33" t="s">
        <v>247</v>
      </c>
      <c r="B37" s="34" t="s">
        <v>248</v>
      </c>
      <c r="C37" s="35" t="s">
        <v>312</v>
      </c>
    </row>
    <row r="38">
      <c r="A38" s="33" t="s">
        <v>149</v>
      </c>
      <c r="B38" s="34" t="s">
        <v>150</v>
      </c>
      <c r="C38" s="35" t="s">
        <v>312</v>
      </c>
    </row>
    <row r="39">
      <c r="A39" s="33" t="s">
        <v>259</v>
      </c>
      <c r="B39" s="34" t="s">
        <v>260</v>
      </c>
      <c r="C39" s="35" t="s">
        <v>312</v>
      </c>
    </row>
    <row r="40">
      <c r="A40" s="33" t="s">
        <v>189</v>
      </c>
      <c r="B40" s="34" t="s">
        <v>190</v>
      </c>
      <c r="C40" s="35" t="s">
        <v>312</v>
      </c>
    </row>
    <row r="41">
      <c r="A41" s="33" t="s">
        <v>127</v>
      </c>
      <c r="B41" s="34" t="s">
        <v>128</v>
      </c>
      <c r="C41" s="35" t="s">
        <v>312</v>
      </c>
    </row>
    <row r="42">
      <c r="A42" s="33" t="s">
        <v>216</v>
      </c>
      <c r="B42" s="34" t="s">
        <v>217</v>
      </c>
      <c r="C42" s="35" t="s">
        <v>312</v>
      </c>
    </row>
    <row r="43">
      <c r="A43" s="33" t="s">
        <v>152</v>
      </c>
      <c r="B43" s="34" t="s">
        <v>153</v>
      </c>
      <c r="C43" s="35" t="s">
        <v>312</v>
      </c>
    </row>
    <row r="44">
      <c r="A44" s="33" t="s">
        <v>159</v>
      </c>
      <c r="B44" s="34" t="s">
        <v>160</v>
      </c>
      <c r="C44" s="35" t="s">
        <v>312</v>
      </c>
    </row>
    <row r="45">
      <c r="A45" s="33" t="s">
        <v>165</v>
      </c>
      <c r="B45" s="34" t="s">
        <v>166</v>
      </c>
      <c r="C45" s="35" t="s">
        <v>312</v>
      </c>
    </row>
    <row r="46">
      <c r="A46" s="33" t="s">
        <v>195</v>
      </c>
      <c r="B46" s="34" t="s">
        <v>196</v>
      </c>
      <c r="C46" s="35" t="s">
        <v>312</v>
      </c>
    </row>
    <row r="47">
      <c r="A47" s="33" t="s">
        <v>155</v>
      </c>
      <c r="B47" s="34" t="s">
        <v>156</v>
      </c>
      <c r="C47" s="35" t="s">
        <v>312</v>
      </c>
    </row>
    <row r="48">
      <c r="A48" s="33" t="s">
        <v>129</v>
      </c>
      <c r="B48" s="34" t="s">
        <v>130</v>
      </c>
      <c r="C48" s="35" t="s">
        <v>312</v>
      </c>
    </row>
    <row r="49">
      <c r="A49" s="33" t="s">
        <v>118</v>
      </c>
      <c r="B49" s="34" t="s">
        <v>119</v>
      </c>
      <c r="C49" s="35" t="s">
        <v>312</v>
      </c>
    </row>
    <row r="50">
      <c r="A50" s="33" t="s">
        <v>285</v>
      </c>
      <c r="B50" s="34" t="s">
        <v>286</v>
      </c>
      <c r="C50" s="35" t="s">
        <v>312</v>
      </c>
    </row>
    <row r="51">
      <c r="A51" s="33" t="s">
        <v>292</v>
      </c>
      <c r="B51" s="34" t="s">
        <v>293</v>
      </c>
      <c r="C51" s="35" t="s">
        <v>312</v>
      </c>
    </row>
    <row r="52">
      <c r="A52" s="33" t="s">
        <v>101</v>
      </c>
      <c r="B52" s="34" t="s">
        <v>102</v>
      </c>
      <c r="C52" s="35" t="s">
        <v>312</v>
      </c>
    </row>
    <row r="53">
      <c r="A53" s="33" t="s">
        <v>224</v>
      </c>
      <c r="B53" s="34" t="s">
        <v>225</v>
      </c>
      <c r="C53" s="35" t="s">
        <v>312</v>
      </c>
    </row>
    <row r="54">
      <c r="A54" s="33" t="s">
        <v>249</v>
      </c>
      <c r="B54" s="34" t="s">
        <v>250</v>
      </c>
      <c r="C54" s="35" t="s">
        <v>312</v>
      </c>
    </row>
    <row r="55">
      <c r="A55" s="33" t="s">
        <v>103</v>
      </c>
      <c r="B55" s="34" t="s">
        <v>104</v>
      </c>
      <c r="C55" s="35" t="s">
        <v>312</v>
      </c>
    </row>
    <row r="56">
      <c r="A56" s="33" t="s">
        <v>212</v>
      </c>
      <c r="B56" s="34" t="s">
        <v>213</v>
      </c>
      <c r="C56" s="35" t="s">
        <v>312</v>
      </c>
    </row>
    <row r="57">
      <c r="A57" s="33" t="s">
        <v>263</v>
      </c>
      <c r="B57" s="34" t="s">
        <v>264</v>
      </c>
      <c r="C57" s="35" t="s">
        <v>312</v>
      </c>
    </row>
    <row r="58">
      <c r="A58" s="33" t="s">
        <v>193</v>
      </c>
      <c r="B58" s="34" t="s">
        <v>194</v>
      </c>
      <c r="C58" s="35" t="s">
        <v>312</v>
      </c>
    </row>
    <row r="59">
      <c r="A59" s="33" t="s">
        <v>236</v>
      </c>
      <c r="B59" s="34" t="s">
        <v>237</v>
      </c>
      <c r="C59" s="35" t="s">
        <v>312</v>
      </c>
    </row>
    <row r="60">
      <c r="A60" s="33" t="s">
        <v>141</v>
      </c>
      <c r="B60" s="34" t="s">
        <v>142</v>
      </c>
      <c r="C60" s="35" t="s">
        <v>312</v>
      </c>
    </row>
    <row r="61">
      <c r="A61" s="33" t="s">
        <v>169</v>
      </c>
      <c r="B61" s="34" t="s">
        <v>170</v>
      </c>
      <c r="C61" s="35" t="s">
        <v>312</v>
      </c>
    </row>
    <row r="62">
      <c r="A62" s="33" t="s">
        <v>147</v>
      </c>
      <c r="B62" s="34" t="s">
        <v>148</v>
      </c>
      <c r="C62" s="35" t="s">
        <v>312</v>
      </c>
    </row>
    <row r="63">
      <c r="A63" s="33" t="s">
        <v>226</v>
      </c>
      <c r="B63" s="34" t="s">
        <v>227</v>
      </c>
      <c r="C63" s="35" t="s">
        <v>312</v>
      </c>
    </row>
    <row r="64">
      <c r="A64" s="33" t="s">
        <v>222</v>
      </c>
      <c r="B64" s="34" t="s">
        <v>223</v>
      </c>
      <c r="C64" s="35" t="s">
        <v>312</v>
      </c>
    </row>
    <row r="65">
      <c r="A65" s="33" t="s">
        <v>209</v>
      </c>
      <c r="B65" s="34" t="s">
        <v>210</v>
      </c>
      <c r="C65" s="35" t="s">
        <v>312</v>
      </c>
    </row>
    <row r="66">
      <c r="A66" s="33" t="s">
        <v>179</v>
      </c>
      <c r="B66" s="34" t="s">
        <v>180</v>
      </c>
      <c r="C66" s="35" t="s">
        <v>312</v>
      </c>
    </row>
    <row r="67">
      <c r="A67" s="33" t="s">
        <v>177</v>
      </c>
      <c r="B67" s="34" t="s">
        <v>178</v>
      </c>
      <c r="C67" s="35" t="s">
        <v>312</v>
      </c>
    </row>
    <row r="68">
      <c r="A68" s="33" t="s">
        <v>157</v>
      </c>
      <c r="B68" s="34" t="s">
        <v>158</v>
      </c>
      <c r="C68" s="35" t="s">
        <v>312</v>
      </c>
    </row>
    <row r="69">
      <c r="A69" s="33" t="s">
        <v>99</v>
      </c>
      <c r="B69" s="34" t="s">
        <v>100</v>
      </c>
      <c r="C69" s="35" t="s">
        <v>312</v>
      </c>
    </row>
    <row r="70">
      <c r="A70" s="33" t="s">
        <v>107</v>
      </c>
      <c r="B70" s="34" t="s">
        <v>108</v>
      </c>
      <c r="C70" s="35" t="s">
        <v>312</v>
      </c>
    </row>
    <row r="71">
      <c r="A71" s="33" t="s">
        <v>253</v>
      </c>
      <c r="B71" s="34" t="s">
        <v>254</v>
      </c>
      <c r="C71" s="35" t="s">
        <v>312</v>
      </c>
    </row>
    <row r="72">
      <c r="A72" s="33" t="s">
        <v>218</v>
      </c>
      <c r="B72" s="34" t="s">
        <v>219</v>
      </c>
      <c r="C72" s="35" t="s">
        <v>312</v>
      </c>
    </row>
    <row r="73">
      <c r="A73" s="33" t="s">
        <v>241</v>
      </c>
      <c r="B73" s="34" t="s">
        <v>242</v>
      </c>
      <c r="C73" s="35" t="s">
        <v>312</v>
      </c>
    </row>
    <row r="74">
      <c r="A74" s="33" t="s">
        <v>161</v>
      </c>
      <c r="B74" s="34" t="s">
        <v>162</v>
      </c>
      <c r="C74" s="35" t="s">
        <v>312</v>
      </c>
    </row>
    <row r="75">
      <c r="A75" s="33" t="s">
        <v>112</v>
      </c>
      <c r="B75" s="34" t="s">
        <v>113</v>
      </c>
      <c r="C75" s="35" t="s">
        <v>312</v>
      </c>
    </row>
    <row r="76">
      <c r="A76" s="33" t="s">
        <v>251</v>
      </c>
      <c r="B76" s="34" t="s">
        <v>252</v>
      </c>
      <c r="C76" s="35" t="s">
        <v>312</v>
      </c>
    </row>
    <row r="77">
      <c r="A77" s="33" t="s">
        <v>109</v>
      </c>
      <c r="B77" s="34" t="s">
        <v>110</v>
      </c>
      <c r="C77" s="35" t="s">
        <v>312</v>
      </c>
    </row>
    <row r="78">
      <c r="A78" s="33" t="s">
        <v>255</v>
      </c>
      <c r="B78" s="34" t="s">
        <v>256</v>
      </c>
      <c r="C78" s="35" t="s">
        <v>312</v>
      </c>
    </row>
    <row r="79">
      <c r="A79" s="33" t="s">
        <v>185</v>
      </c>
      <c r="B79" s="34" t="s">
        <v>186</v>
      </c>
      <c r="C79" s="35" t="s">
        <v>312</v>
      </c>
    </row>
    <row r="80">
      <c r="A80" s="33" t="s">
        <v>137</v>
      </c>
      <c r="B80" s="34" t="s">
        <v>138</v>
      </c>
      <c r="C80" s="35" t="s">
        <v>312</v>
      </c>
    </row>
    <row r="81">
      <c r="A81" s="33" t="s">
        <v>289</v>
      </c>
      <c r="B81" s="34" t="s">
        <v>290</v>
      </c>
      <c r="C81" s="35" t="s">
        <v>312</v>
      </c>
    </row>
    <row r="82">
      <c r="A82" s="33" t="s">
        <v>301</v>
      </c>
      <c r="B82" s="34" t="s">
        <v>302</v>
      </c>
      <c r="C82" s="35" t="s">
        <v>312</v>
      </c>
    </row>
    <row r="83">
      <c r="A83" s="33" t="s">
        <v>261</v>
      </c>
      <c r="B83" s="34" t="s">
        <v>262</v>
      </c>
      <c r="C83" s="35" t="s">
        <v>312</v>
      </c>
    </row>
    <row r="84">
      <c r="A84" s="33" t="s">
        <v>143</v>
      </c>
      <c r="B84" s="34" t="s">
        <v>144</v>
      </c>
      <c r="C84" s="35" t="s">
        <v>312</v>
      </c>
    </row>
    <row r="85">
      <c r="A85" s="33" t="s">
        <v>120</v>
      </c>
      <c r="B85" s="34" t="s">
        <v>121</v>
      </c>
      <c r="C85" s="35" t="s">
        <v>312</v>
      </c>
    </row>
    <row r="86">
      <c r="A86" s="33" t="s">
        <v>271</v>
      </c>
      <c r="B86" s="34" t="s">
        <v>272</v>
      </c>
      <c r="C86" s="35" t="s">
        <v>312</v>
      </c>
    </row>
    <row r="87">
      <c r="A87" s="33" t="s">
        <v>114</v>
      </c>
      <c r="B87" s="34" t="s">
        <v>115</v>
      </c>
      <c r="C87" s="35" t="s">
        <v>312</v>
      </c>
    </row>
    <row r="88">
      <c r="A88" s="33" t="s">
        <v>278</v>
      </c>
      <c r="B88" s="34" t="s">
        <v>279</v>
      </c>
      <c r="C88" s="35" t="s">
        <v>312</v>
      </c>
    </row>
    <row r="89">
      <c r="A89" s="33" t="s">
        <v>139</v>
      </c>
      <c r="B89" s="34" t="s">
        <v>140</v>
      </c>
      <c r="C89" s="35" t="s">
        <v>312</v>
      </c>
    </row>
    <row r="90">
      <c r="A90" s="33" t="s">
        <v>303</v>
      </c>
      <c r="B90" s="34" t="s">
        <v>304</v>
      </c>
      <c r="C90" s="35" t="s">
        <v>312</v>
      </c>
    </row>
    <row r="91">
      <c r="A91" s="33" t="s">
        <v>173</v>
      </c>
      <c r="B91" s="34" t="s">
        <v>174</v>
      </c>
      <c r="C91" s="35" t="s">
        <v>312</v>
      </c>
    </row>
    <row r="92">
      <c r="A92" s="33" t="s">
        <v>175</v>
      </c>
      <c r="B92" s="34" t="s">
        <v>176</v>
      </c>
      <c r="C92" s="35" t="s">
        <v>312</v>
      </c>
    </row>
    <row r="93">
      <c r="A93" s="33" t="s">
        <v>281</v>
      </c>
      <c r="B93" s="34" t="s">
        <v>282</v>
      </c>
      <c r="C93" s="35" t="s">
        <v>312</v>
      </c>
    </row>
    <row r="94">
      <c r="A94" s="33" t="s">
        <v>233</v>
      </c>
      <c r="B94" s="34" t="s">
        <v>234</v>
      </c>
      <c r="C94" s="35" t="s">
        <v>312</v>
      </c>
    </row>
    <row r="95">
      <c r="A95" s="33" t="s">
        <v>201</v>
      </c>
      <c r="B95" s="34" t="s">
        <v>202</v>
      </c>
      <c r="C95" s="35" t="s">
        <v>312</v>
      </c>
    </row>
    <row r="96">
      <c r="A96" s="33" t="s">
        <v>167</v>
      </c>
      <c r="B96" s="34" t="s">
        <v>168</v>
      </c>
      <c r="C96" s="35" t="s">
        <v>312</v>
      </c>
    </row>
    <row r="97">
      <c r="A97" s="33" t="s">
        <v>273</v>
      </c>
      <c r="B97" s="34" t="s">
        <v>274</v>
      </c>
      <c r="C97" s="35" t="s">
        <v>312</v>
      </c>
    </row>
    <row r="98">
      <c r="A98" s="33" t="s">
        <v>214</v>
      </c>
      <c r="B98" s="34" t="s">
        <v>215</v>
      </c>
      <c r="C98" s="35" t="s">
        <v>312</v>
      </c>
    </row>
    <row r="99">
      <c r="A99" s="33" t="s">
        <v>187</v>
      </c>
      <c r="B99" s="34" t="s">
        <v>188</v>
      </c>
      <c r="C99" s="35" t="s">
        <v>312</v>
      </c>
    </row>
    <row r="100">
      <c r="A100" s="33" t="s">
        <v>305</v>
      </c>
      <c r="B100" s="34" t="s">
        <v>306</v>
      </c>
      <c r="C100" s="35" t="s">
        <v>312</v>
      </c>
    </row>
    <row r="101">
      <c r="A101" s="33" t="s">
        <v>231</v>
      </c>
      <c r="B101" s="34" t="s">
        <v>232</v>
      </c>
      <c r="C101" s="35" t="s">
        <v>312</v>
      </c>
    </row>
  </sheetData>
  <dataValidations>
    <dataValidation type="list" allowBlank="1" showErrorMessage="1" sqref="C2:C101">
      <formula1>"TO DO,TRUE,FALSE,SKIP"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30" t="s">
        <v>95</v>
      </c>
      <c r="B1" s="31" t="s">
        <v>96</v>
      </c>
      <c r="C1" s="32" t="s">
        <v>97</v>
      </c>
      <c r="D1" s="23" t="s">
        <v>98</v>
      </c>
    </row>
    <row r="2">
      <c r="A2" s="33" t="s">
        <v>145</v>
      </c>
      <c r="B2" s="34" t="s">
        <v>146</v>
      </c>
      <c r="C2" s="35" t="b">
        <v>0</v>
      </c>
    </row>
    <row r="3">
      <c r="A3" s="33" t="s">
        <v>114</v>
      </c>
      <c r="B3" s="34" t="s">
        <v>115</v>
      </c>
      <c r="C3" s="35" t="b">
        <v>0</v>
      </c>
      <c r="D3" s="5" t="s">
        <v>313</v>
      </c>
    </row>
    <row r="4">
      <c r="A4" s="33" t="s">
        <v>249</v>
      </c>
      <c r="B4" s="34" t="s">
        <v>250</v>
      </c>
      <c r="C4" s="35" t="b">
        <v>1</v>
      </c>
    </row>
    <row r="5">
      <c r="A5" s="33" t="s">
        <v>209</v>
      </c>
      <c r="B5" s="34" t="s">
        <v>210</v>
      </c>
      <c r="C5" s="35" t="b">
        <v>0</v>
      </c>
    </row>
    <row r="6">
      <c r="A6" s="33" t="s">
        <v>216</v>
      </c>
      <c r="B6" s="34" t="s">
        <v>217</v>
      </c>
      <c r="C6" s="35" t="b">
        <v>0</v>
      </c>
      <c r="D6" s="5" t="s">
        <v>314</v>
      </c>
    </row>
    <row r="7">
      <c r="A7" s="33" t="s">
        <v>218</v>
      </c>
      <c r="B7" s="34" t="s">
        <v>219</v>
      </c>
      <c r="C7" s="35" t="b">
        <v>0</v>
      </c>
    </row>
    <row r="8">
      <c r="A8" s="33" t="s">
        <v>185</v>
      </c>
      <c r="B8" s="34" t="s">
        <v>186</v>
      </c>
      <c r="C8" s="35" t="b">
        <v>1</v>
      </c>
    </row>
    <row r="9">
      <c r="A9" s="33" t="s">
        <v>305</v>
      </c>
      <c r="B9" s="34" t="s">
        <v>306</v>
      </c>
      <c r="C9" s="35" t="b">
        <v>1</v>
      </c>
    </row>
    <row r="10">
      <c r="A10" s="33" t="s">
        <v>122</v>
      </c>
      <c r="B10" s="34" t="s">
        <v>123</v>
      </c>
      <c r="C10" s="35" t="b">
        <v>0</v>
      </c>
    </row>
    <row r="11">
      <c r="A11" s="33" t="s">
        <v>199</v>
      </c>
      <c r="B11" s="34" t="s">
        <v>200</v>
      </c>
      <c r="C11" s="35" t="b">
        <v>0</v>
      </c>
    </row>
    <row r="12">
      <c r="A12" s="33" t="s">
        <v>205</v>
      </c>
      <c r="B12" s="34" t="s">
        <v>206</v>
      </c>
      <c r="C12" s="35" t="b">
        <v>1</v>
      </c>
    </row>
    <row r="13">
      <c r="A13" s="33" t="s">
        <v>271</v>
      </c>
      <c r="B13" s="34" t="s">
        <v>272</v>
      </c>
      <c r="C13" s="35" t="b">
        <v>0</v>
      </c>
    </row>
    <row r="14">
      <c r="A14" s="33" t="s">
        <v>269</v>
      </c>
      <c r="B14" s="34" t="s">
        <v>270</v>
      </c>
      <c r="C14" s="35" t="b">
        <v>0</v>
      </c>
    </row>
    <row r="15">
      <c r="A15" s="33" t="s">
        <v>222</v>
      </c>
      <c r="B15" s="34" t="s">
        <v>223</v>
      </c>
      <c r="C15" s="35" t="b">
        <v>1</v>
      </c>
    </row>
    <row r="16">
      <c r="A16" s="33" t="s">
        <v>287</v>
      </c>
      <c r="B16" s="34" t="s">
        <v>288</v>
      </c>
      <c r="C16" s="35" t="b">
        <v>0</v>
      </c>
    </row>
    <row r="17">
      <c r="A17" s="33" t="s">
        <v>129</v>
      </c>
      <c r="B17" s="34" t="s">
        <v>130</v>
      </c>
      <c r="C17" s="35" t="b">
        <v>0</v>
      </c>
    </row>
    <row r="18">
      <c r="A18" s="33" t="s">
        <v>281</v>
      </c>
      <c r="B18" s="34" t="s">
        <v>282</v>
      </c>
      <c r="C18" s="35" t="b">
        <v>1</v>
      </c>
    </row>
    <row r="19">
      <c r="A19" s="33" t="s">
        <v>241</v>
      </c>
      <c r="B19" s="34" t="s">
        <v>242</v>
      </c>
      <c r="C19" s="35" t="b">
        <v>0</v>
      </c>
    </row>
    <row r="20">
      <c r="A20" s="33" t="s">
        <v>285</v>
      </c>
      <c r="B20" s="34" t="s">
        <v>286</v>
      </c>
      <c r="C20" s="35" t="b">
        <v>0</v>
      </c>
    </row>
    <row r="21">
      <c r="A21" s="33" t="s">
        <v>187</v>
      </c>
      <c r="B21" s="34" t="s">
        <v>188</v>
      </c>
      <c r="C21" s="35" t="b">
        <v>1</v>
      </c>
    </row>
    <row r="22">
      <c r="A22" s="33" t="s">
        <v>238</v>
      </c>
      <c r="B22" s="34" t="s">
        <v>239</v>
      </c>
      <c r="C22" s="35" t="b">
        <v>0</v>
      </c>
    </row>
    <row r="23">
      <c r="A23" s="33" t="s">
        <v>193</v>
      </c>
      <c r="B23" s="34" t="s">
        <v>194</v>
      </c>
      <c r="C23" s="35" t="b">
        <v>1</v>
      </c>
    </row>
    <row r="24">
      <c r="A24" s="33" t="s">
        <v>267</v>
      </c>
      <c r="B24" s="34" t="s">
        <v>268</v>
      </c>
      <c r="C24" s="35" t="b">
        <v>1</v>
      </c>
    </row>
    <row r="25">
      <c r="A25" s="33" t="s">
        <v>273</v>
      </c>
      <c r="B25" s="34" t="s">
        <v>274</v>
      </c>
      <c r="C25" s="35" t="b">
        <v>0</v>
      </c>
    </row>
    <row r="26">
      <c r="A26" s="33" t="s">
        <v>191</v>
      </c>
      <c r="B26" s="34" t="s">
        <v>192</v>
      </c>
      <c r="C26" s="35" t="b">
        <v>1</v>
      </c>
    </row>
    <row r="27">
      <c r="A27" s="33" t="s">
        <v>157</v>
      </c>
      <c r="B27" s="34" t="s">
        <v>158</v>
      </c>
      <c r="C27" s="35" t="b">
        <v>0</v>
      </c>
    </row>
    <row r="28">
      <c r="A28" s="33" t="s">
        <v>259</v>
      </c>
      <c r="B28" s="34" t="s">
        <v>260</v>
      </c>
      <c r="C28" s="35" t="b">
        <v>0</v>
      </c>
    </row>
    <row r="29">
      <c r="A29" s="33" t="s">
        <v>236</v>
      </c>
      <c r="B29" s="34" t="s">
        <v>237</v>
      </c>
      <c r="C29" s="35" t="b">
        <v>0</v>
      </c>
    </row>
    <row r="30">
      <c r="A30" s="33" t="s">
        <v>224</v>
      </c>
      <c r="B30" s="34" t="s">
        <v>225</v>
      </c>
      <c r="C30" s="35" t="b">
        <v>1</v>
      </c>
    </row>
    <row r="31">
      <c r="A31" s="33" t="s">
        <v>152</v>
      </c>
      <c r="B31" s="34" t="s">
        <v>153</v>
      </c>
      <c r="C31" s="35" t="s">
        <v>14</v>
      </c>
    </row>
    <row r="32">
      <c r="A32" s="33" t="s">
        <v>243</v>
      </c>
      <c r="B32" s="34" t="s">
        <v>244</v>
      </c>
      <c r="C32" s="35" t="b">
        <v>0</v>
      </c>
    </row>
    <row r="33">
      <c r="A33" s="33" t="s">
        <v>296</v>
      </c>
      <c r="B33" s="34" t="s">
        <v>297</v>
      </c>
      <c r="C33" s="35" t="b">
        <v>0</v>
      </c>
    </row>
    <row r="34">
      <c r="A34" s="33" t="s">
        <v>131</v>
      </c>
      <c r="B34" s="34" t="s">
        <v>132</v>
      </c>
      <c r="C34" s="35" t="b">
        <v>0</v>
      </c>
    </row>
    <row r="35">
      <c r="A35" s="33" t="s">
        <v>141</v>
      </c>
      <c r="B35" s="34" t="s">
        <v>142</v>
      </c>
      <c r="C35" s="35" t="b">
        <v>1</v>
      </c>
    </row>
    <row r="36">
      <c r="A36" s="33" t="s">
        <v>278</v>
      </c>
      <c r="B36" s="34" t="s">
        <v>279</v>
      </c>
      <c r="C36" s="35" t="b">
        <v>0</v>
      </c>
    </row>
    <row r="37">
      <c r="A37" s="33" t="s">
        <v>201</v>
      </c>
      <c r="B37" s="34" t="s">
        <v>202</v>
      </c>
      <c r="C37" s="35" t="b">
        <v>1</v>
      </c>
    </row>
    <row r="38">
      <c r="A38" s="33" t="s">
        <v>255</v>
      </c>
      <c r="B38" s="34" t="s">
        <v>256</v>
      </c>
      <c r="C38" s="35" t="b">
        <v>1</v>
      </c>
    </row>
    <row r="39">
      <c r="A39" s="33" t="s">
        <v>289</v>
      </c>
      <c r="B39" s="34" t="s">
        <v>290</v>
      </c>
      <c r="C39" s="35" t="b">
        <v>0</v>
      </c>
    </row>
    <row r="40">
      <c r="A40" s="33" t="s">
        <v>308</v>
      </c>
      <c r="B40" s="34" t="s">
        <v>309</v>
      </c>
      <c r="C40" s="35" t="b">
        <v>0</v>
      </c>
    </row>
    <row r="41">
      <c r="A41" s="33" t="s">
        <v>251</v>
      </c>
      <c r="B41" s="34" t="s">
        <v>252</v>
      </c>
      <c r="C41" s="35" t="b">
        <v>1</v>
      </c>
    </row>
    <row r="42">
      <c r="A42" s="33" t="s">
        <v>167</v>
      </c>
      <c r="B42" s="34" t="s">
        <v>168</v>
      </c>
      <c r="C42" s="35" t="b">
        <v>1</v>
      </c>
    </row>
    <row r="43">
      <c r="A43" s="33" t="s">
        <v>120</v>
      </c>
      <c r="B43" s="34" t="s">
        <v>121</v>
      </c>
      <c r="C43" s="35" t="b">
        <v>0</v>
      </c>
    </row>
    <row r="44">
      <c r="A44" s="33" t="s">
        <v>163</v>
      </c>
      <c r="B44" s="34" t="s">
        <v>164</v>
      </c>
      <c r="C44" s="35" t="b">
        <v>0</v>
      </c>
    </row>
    <row r="45">
      <c r="A45" s="33" t="s">
        <v>173</v>
      </c>
      <c r="B45" s="34" t="s">
        <v>174</v>
      </c>
      <c r="C45" s="35" t="b">
        <v>0</v>
      </c>
    </row>
    <row r="46">
      <c r="A46" s="33" t="s">
        <v>133</v>
      </c>
      <c r="B46" s="34" t="s">
        <v>134</v>
      </c>
      <c r="C46" s="35" t="b">
        <v>0</v>
      </c>
    </row>
    <row r="47">
      <c r="A47" s="33" t="s">
        <v>165</v>
      </c>
      <c r="B47" s="34" t="s">
        <v>166</v>
      </c>
      <c r="C47" s="35" t="b">
        <v>0</v>
      </c>
    </row>
    <row r="48">
      <c r="A48" s="33" t="s">
        <v>226</v>
      </c>
      <c r="B48" s="34" t="s">
        <v>227</v>
      </c>
      <c r="C48" s="35" t="b">
        <v>0</v>
      </c>
    </row>
    <row r="49">
      <c r="A49" s="33" t="s">
        <v>159</v>
      </c>
      <c r="B49" s="34" t="s">
        <v>160</v>
      </c>
      <c r="C49" s="35" t="b">
        <v>0</v>
      </c>
    </row>
    <row r="50">
      <c r="A50" s="33" t="s">
        <v>220</v>
      </c>
      <c r="B50" s="34" t="s">
        <v>221</v>
      </c>
      <c r="C50" s="35" t="b">
        <v>1</v>
      </c>
      <c r="D50" s="5">
        <v>16.6</v>
      </c>
    </row>
    <row r="51">
      <c r="A51" s="33" t="s">
        <v>112</v>
      </c>
      <c r="B51" s="34" t="s">
        <v>113</v>
      </c>
      <c r="C51" s="35" t="b">
        <v>1</v>
      </c>
    </row>
    <row r="52">
      <c r="A52" s="33" t="s">
        <v>245</v>
      </c>
      <c r="B52" s="34" t="s">
        <v>246</v>
      </c>
      <c r="C52" s="35" t="b">
        <v>0</v>
      </c>
    </row>
    <row r="53">
      <c r="A53" s="33" t="s">
        <v>155</v>
      </c>
      <c r="B53" s="34" t="s">
        <v>156</v>
      </c>
      <c r="C53" s="35" t="b">
        <v>0</v>
      </c>
    </row>
    <row r="54">
      <c r="A54" s="33" t="s">
        <v>189</v>
      </c>
      <c r="B54" s="34" t="s">
        <v>190</v>
      </c>
      <c r="C54" s="35" t="b">
        <v>0</v>
      </c>
    </row>
    <row r="55">
      <c r="A55" s="33" t="s">
        <v>116</v>
      </c>
      <c r="B55" s="34" t="s">
        <v>117</v>
      </c>
      <c r="C55" s="35" t="b">
        <v>0</v>
      </c>
    </row>
    <row r="56">
      <c r="A56" s="33" t="s">
        <v>109</v>
      </c>
      <c r="B56" s="34" t="s">
        <v>110</v>
      </c>
      <c r="C56" s="35" t="b">
        <v>0</v>
      </c>
    </row>
    <row r="57">
      <c r="A57" s="33" t="s">
        <v>147</v>
      </c>
      <c r="B57" s="34" t="s">
        <v>148</v>
      </c>
      <c r="C57" s="35" t="b">
        <v>0</v>
      </c>
    </row>
    <row r="58">
      <c r="A58" s="33" t="s">
        <v>214</v>
      </c>
      <c r="B58" s="34" t="s">
        <v>215</v>
      </c>
      <c r="C58" s="35" t="s">
        <v>14</v>
      </c>
    </row>
    <row r="59">
      <c r="A59" s="33" t="s">
        <v>177</v>
      </c>
      <c r="B59" s="34" t="s">
        <v>178</v>
      </c>
      <c r="C59" s="35" t="s">
        <v>14</v>
      </c>
    </row>
    <row r="60">
      <c r="A60" s="33" t="s">
        <v>127</v>
      </c>
      <c r="B60" s="34" t="s">
        <v>128</v>
      </c>
      <c r="C60" s="35" t="b">
        <v>0</v>
      </c>
    </row>
    <row r="61">
      <c r="A61" s="33" t="s">
        <v>283</v>
      </c>
      <c r="B61" s="34" t="s">
        <v>284</v>
      </c>
      <c r="C61" s="35" t="b">
        <v>0</v>
      </c>
    </row>
    <row r="62">
      <c r="A62" s="33" t="s">
        <v>303</v>
      </c>
      <c r="B62" s="34" t="s">
        <v>304</v>
      </c>
      <c r="C62" s="35" t="b">
        <v>0</v>
      </c>
    </row>
    <row r="63">
      <c r="A63" s="33" t="s">
        <v>179</v>
      </c>
      <c r="B63" s="34" t="s">
        <v>180</v>
      </c>
      <c r="C63" s="35" t="b">
        <v>0</v>
      </c>
    </row>
    <row r="64">
      <c r="A64" s="33" t="s">
        <v>294</v>
      </c>
      <c r="B64" s="34" t="s">
        <v>295</v>
      </c>
      <c r="C64" s="35" t="b">
        <v>0</v>
      </c>
    </row>
    <row r="65">
      <c r="A65" s="33" t="s">
        <v>101</v>
      </c>
      <c r="B65" s="34" t="s">
        <v>102</v>
      </c>
      <c r="C65" s="35" t="b">
        <v>0</v>
      </c>
    </row>
    <row r="66">
      <c r="A66" s="33" t="s">
        <v>175</v>
      </c>
      <c r="B66" s="34" t="s">
        <v>176</v>
      </c>
      <c r="C66" s="35" t="b">
        <v>1</v>
      </c>
    </row>
    <row r="67">
      <c r="A67" s="33" t="s">
        <v>233</v>
      </c>
      <c r="B67" s="34" t="s">
        <v>234</v>
      </c>
      <c r="C67" s="35" t="b">
        <v>1</v>
      </c>
    </row>
    <row r="68">
      <c r="A68" s="33" t="s">
        <v>292</v>
      </c>
      <c r="B68" s="34" t="s">
        <v>293</v>
      </c>
      <c r="C68" s="35" t="b">
        <v>1</v>
      </c>
    </row>
    <row r="69">
      <c r="A69" s="33" t="s">
        <v>149</v>
      </c>
      <c r="B69" s="34" t="s">
        <v>150</v>
      </c>
      <c r="C69" s="35" t="b">
        <v>1</v>
      </c>
    </row>
    <row r="70">
      <c r="A70" s="33" t="s">
        <v>171</v>
      </c>
      <c r="B70" s="34" t="s">
        <v>172</v>
      </c>
      <c r="C70" s="35" t="b">
        <v>1</v>
      </c>
    </row>
    <row r="71">
      <c r="A71" s="33" t="s">
        <v>299</v>
      </c>
      <c r="B71" s="34" t="s">
        <v>300</v>
      </c>
      <c r="C71" s="35" t="b">
        <v>0</v>
      </c>
    </row>
    <row r="72">
      <c r="A72" s="33" t="s">
        <v>139</v>
      </c>
      <c r="B72" s="34" t="s">
        <v>140</v>
      </c>
      <c r="C72" s="35" t="b">
        <v>1</v>
      </c>
    </row>
    <row r="73">
      <c r="A73" s="33" t="s">
        <v>229</v>
      </c>
      <c r="B73" s="34" t="s">
        <v>230</v>
      </c>
      <c r="C73" s="35" t="b">
        <v>0</v>
      </c>
    </row>
    <row r="74">
      <c r="A74" s="33" t="s">
        <v>105</v>
      </c>
      <c r="B74" s="34" t="s">
        <v>106</v>
      </c>
      <c r="C74" s="35" t="b">
        <v>1</v>
      </c>
    </row>
    <row r="75">
      <c r="A75" s="33" t="s">
        <v>263</v>
      </c>
      <c r="B75" s="34" t="s">
        <v>264</v>
      </c>
      <c r="C75" s="35" t="b">
        <v>1</v>
      </c>
    </row>
    <row r="76">
      <c r="A76" s="33" t="s">
        <v>181</v>
      </c>
      <c r="B76" s="34" t="s">
        <v>182</v>
      </c>
      <c r="C76" s="35" t="b">
        <v>1</v>
      </c>
    </row>
    <row r="77">
      <c r="A77" s="33" t="s">
        <v>203</v>
      </c>
      <c r="B77" s="34" t="s">
        <v>204</v>
      </c>
      <c r="C77" s="35" t="b">
        <v>1</v>
      </c>
    </row>
    <row r="78">
      <c r="A78" s="33" t="s">
        <v>247</v>
      </c>
      <c r="B78" s="34" t="s">
        <v>248</v>
      </c>
      <c r="C78" s="35" t="b">
        <v>1</v>
      </c>
    </row>
    <row r="79">
      <c r="A79" s="33" t="s">
        <v>183</v>
      </c>
      <c r="B79" s="34" t="s">
        <v>184</v>
      </c>
      <c r="C79" s="35" t="b">
        <v>0</v>
      </c>
    </row>
    <row r="80">
      <c r="A80" s="33" t="s">
        <v>310</v>
      </c>
      <c r="B80" s="34" t="s">
        <v>311</v>
      </c>
      <c r="C80" s="35" t="b">
        <v>0</v>
      </c>
    </row>
    <row r="81">
      <c r="A81" s="33" t="s">
        <v>137</v>
      </c>
      <c r="B81" s="34" t="s">
        <v>138</v>
      </c>
      <c r="C81" s="35" t="b">
        <v>1</v>
      </c>
    </row>
    <row r="82">
      <c r="A82" s="33" t="s">
        <v>143</v>
      </c>
      <c r="B82" s="34" t="s">
        <v>144</v>
      </c>
      <c r="C82" s="35" t="b">
        <v>1</v>
      </c>
    </row>
    <row r="83">
      <c r="A83" s="33" t="s">
        <v>107</v>
      </c>
      <c r="B83" s="34" t="s">
        <v>108</v>
      </c>
      <c r="C83" s="35" t="b">
        <v>0</v>
      </c>
    </row>
    <row r="84">
      <c r="A84" s="33" t="s">
        <v>253</v>
      </c>
      <c r="B84" s="34" t="s">
        <v>254</v>
      </c>
      <c r="C84" s="35" t="b">
        <v>1</v>
      </c>
    </row>
    <row r="85">
      <c r="A85" s="33" t="s">
        <v>265</v>
      </c>
      <c r="B85" s="34" t="s">
        <v>266</v>
      </c>
      <c r="C85" s="35" t="b">
        <v>1</v>
      </c>
    </row>
    <row r="86">
      <c r="A86" s="33" t="s">
        <v>197</v>
      </c>
      <c r="B86" s="34" t="s">
        <v>198</v>
      </c>
      <c r="C86" s="35" t="b">
        <v>0</v>
      </c>
    </row>
    <row r="87">
      <c r="A87" s="33" t="s">
        <v>261</v>
      </c>
      <c r="B87" s="34" t="s">
        <v>262</v>
      </c>
      <c r="C87" s="35" t="b">
        <v>1</v>
      </c>
    </row>
    <row r="88">
      <c r="A88" s="33" t="s">
        <v>207</v>
      </c>
      <c r="B88" s="34" t="s">
        <v>208</v>
      </c>
      <c r="C88" s="35" t="b">
        <v>1</v>
      </c>
    </row>
    <row r="89">
      <c r="A89" s="33" t="s">
        <v>135</v>
      </c>
      <c r="B89" s="34" t="s">
        <v>136</v>
      </c>
      <c r="C89" s="35" t="b">
        <v>0</v>
      </c>
    </row>
    <row r="90">
      <c r="A90" s="33" t="s">
        <v>301</v>
      </c>
      <c r="B90" s="34" t="s">
        <v>302</v>
      </c>
      <c r="C90" s="35" t="b">
        <v>0</v>
      </c>
    </row>
    <row r="91">
      <c r="A91" s="33" t="s">
        <v>161</v>
      </c>
      <c r="B91" s="34" t="s">
        <v>162</v>
      </c>
      <c r="C91" s="35" t="b">
        <v>1</v>
      </c>
    </row>
    <row r="92">
      <c r="A92" s="33" t="s">
        <v>231</v>
      </c>
      <c r="B92" s="34" t="s">
        <v>232</v>
      </c>
      <c r="C92" s="35" t="b">
        <v>1</v>
      </c>
    </row>
    <row r="93">
      <c r="A93" s="33" t="s">
        <v>275</v>
      </c>
      <c r="B93" s="34" t="s">
        <v>276</v>
      </c>
      <c r="C93" s="35" t="b">
        <v>1</v>
      </c>
    </row>
    <row r="94">
      <c r="A94" s="33" t="s">
        <v>195</v>
      </c>
      <c r="B94" s="34" t="s">
        <v>196</v>
      </c>
      <c r="C94" s="35" t="b">
        <v>1</v>
      </c>
    </row>
    <row r="95">
      <c r="A95" s="33" t="s">
        <v>212</v>
      </c>
      <c r="B95" s="34" t="s">
        <v>213</v>
      </c>
      <c r="C95" s="35" t="b">
        <v>0</v>
      </c>
    </row>
    <row r="96">
      <c r="A96" s="33" t="s">
        <v>169</v>
      </c>
      <c r="B96" s="34" t="s">
        <v>170</v>
      </c>
      <c r="C96" s="35" t="b">
        <v>1</v>
      </c>
    </row>
    <row r="97">
      <c r="A97" s="33" t="s">
        <v>118</v>
      </c>
      <c r="B97" s="34" t="s">
        <v>119</v>
      </c>
      <c r="C97" s="35" t="b">
        <v>1</v>
      </c>
    </row>
    <row r="98">
      <c r="A98" s="33" t="s">
        <v>257</v>
      </c>
      <c r="B98" s="34" t="s">
        <v>258</v>
      </c>
      <c r="C98" s="35" t="b">
        <v>0</v>
      </c>
    </row>
    <row r="99">
      <c r="A99" s="33" t="s">
        <v>125</v>
      </c>
      <c r="B99" s="34" t="s">
        <v>126</v>
      </c>
      <c r="C99" s="35" t="b">
        <v>1</v>
      </c>
    </row>
    <row r="100">
      <c r="A100" s="33" t="s">
        <v>103</v>
      </c>
      <c r="B100" s="34" t="s">
        <v>104</v>
      </c>
      <c r="C100" s="35" t="s">
        <v>14</v>
      </c>
    </row>
    <row r="101">
      <c r="A101" s="33" t="s">
        <v>99</v>
      </c>
      <c r="B101" s="34" t="s">
        <v>100</v>
      </c>
      <c r="C101" s="35" t="b">
        <v>0</v>
      </c>
    </row>
  </sheetData>
  <dataValidations>
    <dataValidation type="list" allowBlank="1" showErrorMessage="1" sqref="C2:C101">
      <formula1>"TO DO,TRUE,FALSE,SKIP"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30" t="s">
        <v>95</v>
      </c>
      <c r="B1" s="31" t="s">
        <v>96</v>
      </c>
      <c r="C1" s="32" t="s">
        <v>97</v>
      </c>
      <c r="D1" s="23" t="s">
        <v>98</v>
      </c>
    </row>
    <row r="2">
      <c r="A2" s="33" t="s">
        <v>201</v>
      </c>
      <c r="B2" s="34" t="s">
        <v>202</v>
      </c>
      <c r="C2" s="35" t="s">
        <v>312</v>
      </c>
    </row>
    <row r="3">
      <c r="A3" s="33" t="s">
        <v>157</v>
      </c>
      <c r="B3" s="34" t="s">
        <v>158</v>
      </c>
      <c r="C3" s="35" t="s">
        <v>312</v>
      </c>
    </row>
    <row r="4">
      <c r="A4" s="33" t="s">
        <v>127</v>
      </c>
      <c r="B4" s="34" t="s">
        <v>128</v>
      </c>
      <c r="C4" s="35" t="s">
        <v>312</v>
      </c>
    </row>
    <row r="5">
      <c r="A5" s="33" t="s">
        <v>216</v>
      </c>
      <c r="B5" s="34" t="s">
        <v>217</v>
      </c>
      <c r="C5" s="35" t="s">
        <v>312</v>
      </c>
    </row>
    <row r="6">
      <c r="A6" s="33" t="s">
        <v>149</v>
      </c>
      <c r="B6" s="34" t="s">
        <v>150</v>
      </c>
      <c r="C6" s="35" t="s">
        <v>312</v>
      </c>
    </row>
    <row r="7">
      <c r="A7" s="33" t="s">
        <v>183</v>
      </c>
      <c r="B7" s="34" t="s">
        <v>184</v>
      </c>
      <c r="C7" s="35" t="s">
        <v>312</v>
      </c>
    </row>
    <row r="8">
      <c r="A8" s="33" t="s">
        <v>224</v>
      </c>
      <c r="B8" s="34" t="s">
        <v>225</v>
      </c>
      <c r="C8" s="35" t="s">
        <v>312</v>
      </c>
    </row>
    <row r="9">
      <c r="A9" s="33" t="s">
        <v>137</v>
      </c>
      <c r="B9" s="34" t="s">
        <v>138</v>
      </c>
      <c r="C9" s="35" t="s">
        <v>312</v>
      </c>
    </row>
    <row r="10">
      <c r="A10" s="33" t="s">
        <v>249</v>
      </c>
      <c r="B10" s="34" t="s">
        <v>250</v>
      </c>
      <c r="C10" s="35" t="s">
        <v>312</v>
      </c>
    </row>
    <row r="11">
      <c r="A11" s="33" t="s">
        <v>129</v>
      </c>
      <c r="B11" s="34" t="s">
        <v>130</v>
      </c>
      <c r="C11" s="35" t="s">
        <v>312</v>
      </c>
    </row>
    <row r="12">
      <c r="A12" s="33" t="s">
        <v>271</v>
      </c>
      <c r="B12" s="34" t="s">
        <v>272</v>
      </c>
      <c r="C12" s="35" t="s">
        <v>312</v>
      </c>
    </row>
    <row r="13">
      <c r="A13" s="33" t="s">
        <v>199</v>
      </c>
      <c r="B13" s="34" t="s">
        <v>200</v>
      </c>
      <c r="C13" s="35" t="s">
        <v>312</v>
      </c>
    </row>
    <row r="14">
      <c r="A14" s="33" t="s">
        <v>122</v>
      </c>
      <c r="B14" s="34" t="s">
        <v>123</v>
      </c>
      <c r="C14" s="35" t="s">
        <v>312</v>
      </c>
    </row>
    <row r="15">
      <c r="A15" s="33" t="s">
        <v>229</v>
      </c>
      <c r="B15" s="34" t="s">
        <v>230</v>
      </c>
      <c r="C15" s="35" t="s">
        <v>312</v>
      </c>
    </row>
    <row r="16">
      <c r="A16" s="33" t="s">
        <v>292</v>
      </c>
      <c r="B16" s="34" t="s">
        <v>293</v>
      </c>
      <c r="C16" s="35" t="s">
        <v>312</v>
      </c>
    </row>
    <row r="17">
      <c r="A17" s="33" t="s">
        <v>141</v>
      </c>
      <c r="B17" s="34" t="s">
        <v>142</v>
      </c>
      <c r="C17" s="35" t="s">
        <v>312</v>
      </c>
    </row>
    <row r="18">
      <c r="A18" s="33" t="s">
        <v>125</v>
      </c>
      <c r="B18" s="34" t="s">
        <v>126</v>
      </c>
      <c r="C18" s="35" t="s">
        <v>312</v>
      </c>
    </row>
    <row r="19">
      <c r="A19" s="33" t="s">
        <v>243</v>
      </c>
      <c r="B19" s="34" t="s">
        <v>244</v>
      </c>
      <c r="C19" s="35" t="s">
        <v>312</v>
      </c>
    </row>
    <row r="20">
      <c r="A20" s="33" t="s">
        <v>259</v>
      </c>
      <c r="B20" s="34" t="s">
        <v>260</v>
      </c>
      <c r="C20" s="35" t="s">
        <v>312</v>
      </c>
    </row>
    <row r="21">
      <c r="A21" s="33" t="s">
        <v>112</v>
      </c>
      <c r="B21" s="34" t="s">
        <v>113</v>
      </c>
      <c r="C21" s="35" t="s">
        <v>312</v>
      </c>
    </row>
    <row r="22">
      <c r="A22" s="33" t="s">
        <v>120</v>
      </c>
      <c r="B22" s="34" t="s">
        <v>121</v>
      </c>
      <c r="C22" s="35" t="s">
        <v>312</v>
      </c>
    </row>
    <row r="23">
      <c r="A23" s="33" t="s">
        <v>212</v>
      </c>
      <c r="B23" s="34" t="s">
        <v>213</v>
      </c>
      <c r="C23" s="35" t="s">
        <v>312</v>
      </c>
    </row>
    <row r="24">
      <c r="A24" s="33" t="s">
        <v>247</v>
      </c>
      <c r="B24" s="34" t="s">
        <v>248</v>
      </c>
      <c r="C24" s="35" t="s">
        <v>312</v>
      </c>
    </row>
    <row r="25">
      <c r="A25" s="33" t="s">
        <v>261</v>
      </c>
      <c r="B25" s="34" t="s">
        <v>262</v>
      </c>
      <c r="C25" s="35" t="s">
        <v>312</v>
      </c>
    </row>
    <row r="26">
      <c r="A26" s="33" t="s">
        <v>133</v>
      </c>
      <c r="B26" s="34" t="s">
        <v>134</v>
      </c>
      <c r="C26" s="35" t="s">
        <v>312</v>
      </c>
    </row>
    <row r="27">
      <c r="A27" s="33" t="s">
        <v>189</v>
      </c>
      <c r="B27" s="34" t="s">
        <v>190</v>
      </c>
      <c r="C27" s="35" t="s">
        <v>312</v>
      </c>
    </row>
    <row r="28">
      <c r="A28" s="33" t="s">
        <v>109</v>
      </c>
      <c r="B28" s="34" t="s">
        <v>110</v>
      </c>
      <c r="C28" s="35" t="s">
        <v>312</v>
      </c>
    </row>
    <row r="29">
      <c r="A29" s="33" t="s">
        <v>105</v>
      </c>
      <c r="B29" s="34" t="s">
        <v>106</v>
      </c>
      <c r="C29" s="35" t="s">
        <v>312</v>
      </c>
    </row>
    <row r="30">
      <c r="A30" s="33" t="s">
        <v>294</v>
      </c>
      <c r="B30" s="34" t="s">
        <v>295</v>
      </c>
      <c r="C30" s="35" t="s">
        <v>312</v>
      </c>
    </row>
    <row r="31">
      <c r="A31" s="33" t="s">
        <v>257</v>
      </c>
      <c r="B31" s="34" t="s">
        <v>258</v>
      </c>
      <c r="C31" s="35" t="s">
        <v>312</v>
      </c>
    </row>
    <row r="32">
      <c r="A32" s="33" t="s">
        <v>289</v>
      </c>
      <c r="B32" s="34" t="s">
        <v>290</v>
      </c>
      <c r="C32" s="35" t="s">
        <v>312</v>
      </c>
    </row>
    <row r="33">
      <c r="A33" s="33" t="s">
        <v>159</v>
      </c>
      <c r="B33" s="34" t="s">
        <v>160</v>
      </c>
      <c r="C33" s="35" t="s">
        <v>312</v>
      </c>
    </row>
    <row r="34">
      <c r="A34" s="33" t="s">
        <v>181</v>
      </c>
      <c r="B34" s="34" t="s">
        <v>182</v>
      </c>
      <c r="C34" s="35" t="s">
        <v>312</v>
      </c>
    </row>
    <row r="35">
      <c r="A35" s="33" t="s">
        <v>209</v>
      </c>
      <c r="B35" s="34" t="s">
        <v>210</v>
      </c>
      <c r="C35" s="35" t="s">
        <v>312</v>
      </c>
    </row>
    <row r="36">
      <c r="A36" s="33" t="s">
        <v>161</v>
      </c>
      <c r="B36" s="34" t="s">
        <v>162</v>
      </c>
      <c r="C36" s="35" t="s">
        <v>312</v>
      </c>
    </row>
    <row r="37">
      <c r="A37" s="33" t="s">
        <v>163</v>
      </c>
      <c r="B37" s="34" t="s">
        <v>164</v>
      </c>
      <c r="C37" s="35" t="s">
        <v>312</v>
      </c>
    </row>
    <row r="38">
      <c r="A38" s="33" t="s">
        <v>173</v>
      </c>
      <c r="B38" s="34" t="s">
        <v>174</v>
      </c>
      <c r="C38" s="35" t="s">
        <v>312</v>
      </c>
    </row>
    <row r="39">
      <c r="A39" s="33" t="s">
        <v>267</v>
      </c>
      <c r="B39" s="34" t="s">
        <v>268</v>
      </c>
      <c r="C39" s="35" t="s">
        <v>312</v>
      </c>
    </row>
    <row r="40">
      <c r="A40" s="33" t="s">
        <v>103</v>
      </c>
      <c r="B40" s="34" t="s">
        <v>104</v>
      </c>
      <c r="C40" s="35" t="s">
        <v>312</v>
      </c>
    </row>
    <row r="41">
      <c r="A41" s="33" t="s">
        <v>245</v>
      </c>
      <c r="B41" s="34" t="s">
        <v>246</v>
      </c>
      <c r="C41" s="35" t="s">
        <v>312</v>
      </c>
    </row>
    <row r="42">
      <c r="A42" s="33" t="s">
        <v>265</v>
      </c>
      <c r="B42" s="34" t="s">
        <v>266</v>
      </c>
      <c r="C42" s="35" t="s">
        <v>312</v>
      </c>
    </row>
    <row r="43">
      <c r="A43" s="33" t="s">
        <v>253</v>
      </c>
      <c r="B43" s="34" t="s">
        <v>254</v>
      </c>
      <c r="C43" s="35" t="s">
        <v>312</v>
      </c>
    </row>
    <row r="44">
      <c r="A44" s="33" t="s">
        <v>131</v>
      </c>
      <c r="B44" s="34" t="s">
        <v>132</v>
      </c>
      <c r="C44" s="35" t="s">
        <v>312</v>
      </c>
    </row>
    <row r="45">
      <c r="A45" s="33" t="s">
        <v>155</v>
      </c>
      <c r="B45" s="34" t="s">
        <v>156</v>
      </c>
      <c r="C45" s="35" t="s">
        <v>312</v>
      </c>
    </row>
    <row r="46">
      <c r="A46" s="33" t="s">
        <v>197</v>
      </c>
      <c r="B46" s="34" t="s">
        <v>198</v>
      </c>
      <c r="C46" s="35" t="s">
        <v>312</v>
      </c>
    </row>
    <row r="47">
      <c r="A47" s="33" t="s">
        <v>147</v>
      </c>
      <c r="B47" s="34" t="s">
        <v>148</v>
      </c>
      <c r="C47" s="35" t="s">
        <v>312</v>
      </c>
    </row>
    <row r="48">
      <c r="A48" s="33" t="s">
        <v>226</v>
      </c>
      <c r="B48" s="34" t="s">
        <v>227</v>
      </c>
      <c r="C48" s="35" t="s">
        <v>312</v>
      </c>
    </row>
    <row r="49">
      <c r="A49" s="33" t="s">
        <v>207</v>
      </c>
      <c r="B49" s="34" t="s">
        <v>208</v>
      </c>
      <c r="C49" s="35" t="s">
        <v>312</v>
      </c>
    </row>
    <row r="50">
      <c r="A50" s="33" t="s">
        <v>236</v>
      </c>
      <c r="B50" s="34" t="s">
        <v>237</v>
      </c>
      <c r="C50" s="35" t="s">
        <v>312</v>
      </c>
    </row>
    <row r="51">
      <c r="A51" s="33" t="s">
        <v>167</v>
      </c>
      <c r="B51" s="34" t="s">
        <v>168</v>
      </c>
      <c r="C51" s="35" t="s">
        <v>312</v>
      </c>
    </row>
    <row r="52">
      <c r="A52" s="33" t="s">
        <v>233</v>
      </c>
      <c r="B52" s="34" t="s">
        <v>234</v>
      </c>
      <c r="C52" s="35" t="s">
        <v>312</v>
      </c>
    </row>
    <row r="53">
      <c r="A53" s="33" t="s">
        <v>255</v>
      </c>
      <c r="B53" s="34" t="s">
        <v>256</v>
      </c>
      <c r="C53" s="35" t="s">
        <v>312</v>
      </c>
    </row>
    <row r="54">
      <c r="A54" s="33" t="s">
        <v>303</v>
      </c>
      <c r="B54" s="34" t="s">
        <v>304</v>
      </c>
      <c r="C54" s="35" t="s">
        <v>312</v>
      </c>
    </row>
    <row r="55">
      <c r="A55" s="33" t="s">
        <v>171</v>
      </c>
      <c r="B55" s="34" t="s">
        <v>172</v>
      </c>
      <c r="C55" s="35" t="s">
        <v>312</v>
      </c>
    </row>
    <row r="56">
      <c r="A56" s="33" t="s">
        <v>273</v>
      </c>
      <c r="B56" s="34" t="s">
        <v>274</v>
      </c>
      <c r="C56" s="35" t="s">
        <v>312</v>
      </c>
    </row>
    <row r="57">
      <c r="A57" s="33" t="s">
        <v>231</v>
      </c>
      <c r="B57" s="34" t="s">
        <v>232</v>
      </c>
      <c r="C57" s="35" t="s">
        <v>312</v>
      </c>
    </row>
    <row r="58">
      <c r="A58" s="33" t="s">
        <v>296</v>
      </c>
      <c r="B58" s="34" t="s">
        <v>297</v>
      </c>
      <c r="C58" s="35" t="s">
        <v>312</v>
      </c>
    </row>
    <row r="59">
      <c r="A59" s="33" t="s">
        <v>301</v>
      </c>
      <c r="B59" s="34" t="s">
        <v>302</v>
      </c>
      <c r="C59" s="35" t="s">
        <v>312</v>
      </c>
    </row>
    <row r="60">
      <c r="A60" s="33" t="s">
        <v>145</v>
      </c>
      <c r="B60" s="34" t="s">
        <v>146</v>
      </c>
      <c r="C60" s="35" t="s">
        <v>312</v>
      </c>
    </row>
    <row r="61">
      <c r="A61" s="33" t="s">
        <v>169</v>
      </c>
      <c r="B61" s="34" t="s">
        <v>170</v>
      </c>
      <c r="C61" s="35" t="s">
        <v>312</v>
      </c>
    </row>
    <row r="62">
      <c r="A62" s="33" t="s">
        <v>287</v>
      </c>
      <c r="B62" s="34" t="s">
        <v>288</v>
      </c>
      <c r="C62" s="35" t="s">
        <v>312</v>
      </c>
    </row>
    <row r="63">
      <c r="A63" s="33" t="s">
        <v>214</v>
      </c>
      <c r="B63" s="34" t="s">
        <v>215</v>
      </c>
      <c r="C63" s="35" t="s">
        <v>312</v>
      </c>
    </row>
    <row r="64">
      <c r="A64" s="33" t="s">
        <v>139</v>
      </c>
      <c r="B64" s="34" t="s">
        <v>140</v>
      </c>
      <c r="C64" s="35" t="s">
        <v>312</v>
      </c>
    </row>
    <row r="65">
      <c r="A65" s="33" t="s">
        <v>283</v>
      </c>
      <c r="B65" s="34" t="s">
        <v>284</v>
      </c>
      <c r="C65" s="35" t="s">
        <v>312</v>
      </c>
    </row>
    <row r="66">
      <c r="A66" s="33" t="s">
        <v>191</v>
      </c>
      <c r="B66" s="34" t="s">
        <v>192</v>
      </c>
      <c r="C66" s="35" t="s">
        <v>312</v>
      </c>
    </row>
    <row r="67">
      <c r="A67" s="33" t="s">
        <v>285</v>
      </c>
      <c r="B67" s="34" t="s">
        <v>286</v>
      </c>
      <c r="C67" s="35" t="s">
        <v>312</v>
      </c>
    </row>
    <row r="68">
      <c r="A68" s="33" t="s">
        <v>263</v>
      </c>
      <c r="B68" s="34" t="s">
        <v>264</v>
      </c>
      <c r="C68" s="35" t="s">
        <v>312</v>
      </c>
    </row>
    <row r="69">
      <c r="A69" s="33" t="s">
        <v>118</v>
      </c>
      <c r="B69" s="34" t="s">
        <v>119</v>
      </c>
      <c r="C69" s="35" t="s">
        <v>312</v>
      </c>
    </row>
    <row r="70">
      <c r="A70" s="33" t="s">
        <v>135</v>
      </c>
      <c r="B70" s="34" t="s">
        <v>136</v>
      </c>
      <c r="C70" s="35" t="s">
        <v>312</v>
      </c>
    </row>
    <row r="71">
      <c r="A71" s="33" t="s">
        <v>114</v>
      </c>
      <c r="B71" s="34" t="s">
        <v>115</v>
      </c>
      <c r="C71" s="35" t="s">
        <v>312</v>
      </c>
    </row>
    <row r="72">
      <c r="A72" s="33" t="s">
        <v>185</v>
      </c>
      <c r="B72" s="34" t="s">
        <v>186</v>
      </c>
      <c r="C72" s="35" t="s">
        <v>312</v>
      </c>
    </row>
    <row r="73">
      <c r="A73" s="33" t="s">
        <v>218</v>
      </c>
      <c r="B73" s="34" t="s">
        <v>219</v>
      </c>
      <c r="C73" s="35" t="s">
        <v>312</v>
      </c>
    </row>
    <row r="74">
      <c r="A74" s="33" t="s">
        <v>278</v>
      </c>
      <c r="B74" s="34" t="s">
        <v>279</v>
      </c>
      <c r="C74" s="35" t="s">
        <v>312</v>
      </c>
    </row>
    <row r="75">
      <c r="A75" s="33" t="s">
        <v>165</v>
      </c>
      <c r="B75" s="34" t="s">
        <v>166</v>
      </c>
      <c r="C75" s="35" t="s">
        <v>312</v>
      </c>
    </row>
    <row r="76">
      <c r="A76" s="33" t="s">
        <v>187</v>
      </c>
      <c r="B76" s="34" t="s">
        <v>188</v>
      </c>
      <c r="C76" s="35" t="s">
        <v>312</v>
      </c>
    </row>
    <row r="77">
      <c r="A77" s="33" t="s">
        <v>222</v>
      </c>
      <c r="B77" s="34" t="s">
        <v>223</v>
      </c>
      <c r="C77" s="35" t="s">
        <v>312</v>
      </c>
    </row>
    <row r="78">
      <c r="A78" s="33" t="s">
        <v>175</v>
      </c>
      <c r="B78" s="34" t="s">
        <v>176</v>
      </c>
      <c r="C78" s="35" t="s">
        <v>312</v>
      </c>
    </row>
    <row r="79">
      <c r="A79" s="33" t="s">
        <v>281</v>
      </c>
      <c r="B79" s="34" t="s">
        <v>282</v>
      </c>
      <c r="C79" s="35" t="s">
        <v>312</v>
      </c>
    </row>
    <row r="80">
      <c r="A80" s="33" t="s">
        <v>143</v>
      </c>
      <c r="B80" s="34" t="s">
        <v>144</v>
      </c>
      <c r="C80" s="35" t="s">
        <v>312</v>
      </c>
    </row>
    <row r="81">
      <c r="A81" s="33" t="s">
        <v>308</v>
      </c>
      <c r="B81" s="34" t="s">
        <v>309</v>
      </c>
      <c r="C81" s="35" t="s">
        <v>312</v>
      </c>
    </row>
    <row r="82">
      <c r="A82" s="33" t="s">
        <v>275</v>
      </c>
      <c r="B82" s="34" t="s">
        <v>276</v>
      </c>
      <c r="C82" s="35" t="s">
        <v>312</v>
      </c>
    </row>
    <row r="83">
      <c r="A83" s="33" t="s">
        <v>220</v>
      </c>
      <c r="B83" s="34" t="s">
        <v>221</v>
      </c>
      <c r="C83" s="35" t="s">
        <v>312</v>
      </c>
    </row>
    <row r="84">
      <c r="A84" s="33" t="s">
        <v>241</v>
      </c>
      <c r="B84" s="34" t="s">
        <v>242</v>
      </c>
      <c r="C84" s="35" t="s">
        <v>312</v>
      </c>
    </row>
    <row r="85">
      <c r="A85" s="33" t="s">
        <v>310</v>
      </c>
      <c r="B85" s="34" t="s">
        <v>311</v>
      </c>
      <c r="C85" s="35" t="s">
        <v>312</v>
      </c>
    </row>
    <row r="86">
      <c r="A86" s="33" t="s">
        <v>269</v>
      </c>
      <c r="B86" s="34" t="s">
        <v>270</v>
      </c>
      <c r="C86" s="35" t="s">
        <v>312</v>
      </c>
    </row>
    <row r="87">
      <c r="A87" s="33" t="s">
        <v>195</v>
      </c>
      <c r="B87" s="34" t="s">
        <v>196</v>
      </c>
      <c r="C87" s="35" t="s">
        <v>312</v>
      </c>
    </row>
    <row r="88">
      <c r="A88" s="33" t="s">
        <v>177</v>
      </c>
      <c r="B88" s="34" t="s">
        <v>178</v>
      </c>
      <c r="C88" s="35" t="s">
        <v>312</v>
      </c>
    </row>
    <row r="89">
      <c r="A89" s="33" t="s">
        <v>101</v>
      </c>
      <c r="B89" s="34" t="s">
        <v>102</v>
      </c>
      <c r="C89" s="35" t="s">
        <v>312</v>
      </c>
    </row>
    <row r="90">
      <c r="A90" s="33" t="s">
        <v>179</v>
      </c>
      <c r="B90" s="34" t="s">
        <v>180</v>
      </c>
      <c r="C90" s="35" t="s">
        <v>312</v>
      </c>
    </row>
    <row r="91">
      <c r="A91" s="33" t="s">
        <v>99</v>
      </c>
      <c r="B91" s="34" t="s">
        <v>100</v>
      </c>
      <c r="C91" s="35" t="s">
        <v>312</v>
      </c>
    </row>
    <row r="92">
      <c r="A92" s="33" t="s">
        <v>305</v>
      </c>
      <c r="B92" s="34" t="s">
        <v>306</v>
      </c>
      <c r="C92" s="35" t="s">
        <v>312</v>
      </c>
    </row>
    <row r="93">
      <c r="A93" s="33" t="s">
        <v>193</v>
      </c>
      <c r="B93" s="34" t="s">
        <v>194</v>
      </c>
      <c r="C93" s="35" t="s">
        <v>312</v>
      </c>
    </row>
    <row r="94">
      <c r="A94" s="33" t="s">
        <v>205</v>
      </c>
      <c r="B94" s="34" t="s">
        <v>206</v>
      </c>
      <c r="C94" s="35" t="s">
        <v>312</v>
      </c>
    </row>
    <row r="95">
      <c r="A95" s="33" t="s">
        <v>251</v>
      </c>
      <c r="B95" s="34" t="s">
        <v>252</v>
      </c>
      <c r="C95" s="35" t="s">
        <v>312</v>
      </c>
    </row>
    <row r="96">
      <c r="A96" s="33" t="s">
        <v>238</v>
      </c>
      <c r="B96" s="34" t="s">
        <v>239</v>
      </c>
      <c r="C96" s="35" t="s">
        <v>312</v>
      </c>
    </row>
    <row r="97">
      <c r="A97" s="33" t="s">
        <v>107</v>
      </c>
      <c r="B97" s="34" t="s">
        <v>108</v>
      </c>
      <c r="C97" s="35" t="s">
        <v>312</v>
      </c>
    </row>
    <row r="98">
      <c r="A98" s="33" t="s">
        <v>299</v>
      </c>
      <c r="B98" s="34" t="s">
        <v>300</v>
      </c>
      <c r="C98" s="35" t="s">
        <v>312</v>
      </c>
    </row>
    <row r="99">
      <c r="A99" s="33" t="s">
        <v>152</v>
      </c>
      <c r="B99" s="34" t="s">
        <v>153</v>
      </c>
      <c r="C99" s="35" t="s">
        <v>312</v>
      </c>
    </row>
    <row r="100">
      <c r="A100" s="33" t="s">
        <v>116</v>
      </c>
      <c r="B100" s="34" t="s">
        <v>117</v>
      </c>
      <c r="C100" s="35" t="s">
        <v>312</v>
      </c>
    </row>
    <row r="101">
      <c r="A101" s="33" t="s">
        <v>203</v>
      </c>
      <c r="B101" s="34" t="s">
        <v>204</v>
      </c>
      <c r="C101" s="35" t="s">
        <v>312</v>
      </c>
    </row>
  </sheetData>
  <dataValidations>
    <dataValidation type="list" allowBlank="1" showErrorMessage="1" sqref="C2:C101">
      <formula1>"TO DO,TRUE,FALSE,SKIP"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0.38"/>
    <col customWidth="1" min="2" max="2" width="86.0"/>
    <col customWidth="1" min="3" max="4" width="19.75"/>
  </cols>
  <sheetData>
    <row r="1">
      <c r="A1" s="30" t="s">
        <v>95</v>
      </c>
      <c r="B1" s="31" t="s">
        <v>96</v>
      </c>
      <c r="C1" s="32" t="s">
        <v>97</v>
      </c>
      <c r="D1" s="23" t="s">
        <v>98</v>
      </c>
    </row>
    <row r="2">
      <c r="A2" s="33" t="s">
        <v>247</v>
      </c>
      <c r="B2" s="34" t="s">
        <v>248</v>
      </c>
      <c r="C2" s="35" t="b">
        <v>1</v>
      </c>
    </row>
    <row r="3">
      <c r="A3" s="33" t="s">
        <v>226</v>
      </c>
      <c r="B3" s="34" t="s">
        <v>227</v>
      </c>
      <c r="C3" s="35" t="b">
        <v>0</v>
      </c>
    </row>
    <row r="4">
      <c r="A4" s="33" t="s">
        <v>152</v>
      </c>
      <c r="B4" s="34" t="s">
        <v>153</v>
      </c>
      <c r="C4" s="35" t="b">
        <v>1</v>
      </c>
    </row>
    <row r="5">
      <c r="A5" s="33" t="s">
        <v>278</v>
      </c>
      <c r="B5" s="34" t="s">
        <v>279</v>
      </c>
      <c r="C5" s="35" t="b">
        <v>0</v>
      </c>
    </row>
    <row r="6">
      <c r="A6" s="33" t="s">
        <v>129</v>
      </c>
      <c r="B6" s="34" t="s">
        <v>130</v>
      </c>
      <c r="C6" s="35" t="b">
        <v>0</v>
      </c>
    </row>
    <row r="7">
      <c r="A7" s="33" t="s">
        <v>165</v>
      </c>
      <c r="B7" s="34" t="s">
        <v>166</v>
      </c>
      <c r="C7" s="35" t="b">
        <v>0</v>
      </c>
    </row>
    <row r="8">
      <c r="A8" s="33" t="s">
        <v>195</v>
      </c>
      <c r="B8" s="34" t="s">
        <v>196</v>
      </c>
      <c r="C8" s="35" t="b">
        <v>1</v>
      </c>
    </row>
    <row r="9">
      <c r="A9" s="33" t="s">
        <v>214</v>
      </c>
      <c r="B9" s="34" t="s">
        <v>215</v>
      </c>
      <c r="C9" s="35" t="b">
        <v>1</v>
      </c>
    </row>
    <row r="10">
      <c r="A10" s="33" t="s">
        <v>296</v>
      </c>
      <c r="B10" s="34" t="s">
        <v>297</v>
      </c>
      <c r="C10" s="35" t="b">
        <v>0</v>
      </c>
    </row>
    <row r="11">
      <c r="A11" s="33" t="s">
        <v>216</v>
      </c>
      <c r="B11" s="34" t="s">
        <v>217</v>
      </c>
      <c r="C11" s="35" t="b">
        <v>0</v>
      </c>
    </row>
    <row r="12">
      <c r="A12" s="33" t="s">
        <v>141</v>
      </c>
      <c r="B12" s="34" t="s">
        <v>142</v>
      </c>
      <c r="C12" s="35" t="b">
        <v>1</v>
      </c>
    </row>
    <row r="13">
      <c r="A13" s="33" t="s">
        <v>267</v>
      </c>
      <c r="B13" s="34" t="s">
        <v>268</v>
      </c>
      <c r="C13" s="35" t="b">
        <v>1</v>
      </c>
    </row>
    <row r="14">
      <c r="A14" s="33" t="s">
        <v>283</v>
      </c>
      <c r="B14" s="34" t="s">
        <v>284</v>
      </c>
      <c r="C14" s="35" t="b">
        <v>0</v>
      </c>
    </row>
    <row r="15">
      <c r="A15" s="33" t="s">
        <v>183</v>
      </c>
      <c r="B15" s="34" t="s">
        <v>184</v>
      </c>
      <c r="C15" s="35" t="b">
        <v>0</v>
      </c>
    </row>
    <row r="16">
      <c r="A16" s="33" t="s">
        <v>265</v>
      </c>
      <c r="B16" s="34" t="s">
        <v>266</v>
      </c>
      <c r="C16" s="35" t="b">
        <v>1</v>
      </c>
    </row>
    <row r="17">
      <c r="A17" s="33" t="s">
        <v>171</v>
      </c>
      <c r="B17" s="34" t="s">
        <v>172</v>
      </c>
      <c r="C17" s="35" t="b">
        <v>1</v>
      </c>
    </row>
    <row r="18">
      <c r="A18" s="33" t="s">
        <v>101</v>
      </c>
      <c r="B18" s="34" t="s">
        <v>102</v>
      </c>
      <c r="C18" s="35" t="b">
        <v>0</v>
      </c>
    </row>
    <row r="19">
      <c r="A19" s="33" t="s">
        <v>255</v>
      </c>
      <c r="B19" s="34" t="s">
        <v>256</v>
      </c>
      <c r="C19" s="35" t="b">
        <v>1</v>
      </c>
    </row>
    <row r="20">
      <c r="A20" s="33" t="s">
        <v>105</v>
      </c>
      <c r="B20" s="34" t="s">
        <v>106</v>
      </c>
      <c r="C20" s="35" t="b">
        <v>1</v>
      </c>
    </row>
    <row r="21">
      <c r="A21" s="33" t="s">
        <v>143</v>
      </c>
      <c r="B21" s="34" t="s">
        <v>144</v>
      </c>
      <c r="C21" s="35" t="b">
        <v>1</v>
      </c>
    </row>
    <row r="22">
      <c r="A22" s="33" t="s">
        <v>201</v>
      </c>
      <c r="B22" s="34" t="s">
        <v>202</v>
      </c>
      <c r="C22" s="35" t="b">
        <v>1</v>
      </c>
    </row>
    <row r="23">
      <c r="A23" s="33" t="s">
        <v>203</v>
      </c>
      <c r="B23" s="34" t="s">
        <v>204</v>
      </c>
      <c r="C23" s="35" t="b">
        <v>1</v>
      </c>
    </row>
    <row r="24">
      <c r="A24" s="33" t="s">
        <v>281</v>
      </c>
      <c r="B24" s="34" t="s">
        <v>282</v>
      </c>
      <c r="C24" s="35" t="b">
        <v>1</v>
      </c>
    </row>
    <row r="25">
      <c r="A25" s="33" t="s">
        <v>120</v>
      </c>
      <c r="B25" s="34" t="s">
        <v>121</v>
      </c>
      <c r="C25" s="35" t="b">
        <v>1</v>
      </c>
    </row>
    <row r="26">
      <c r="A26" s="33" t="s">
        <v>229</v>
      </c>
      <c r="B26" s="34" t="s">
        <v>230</v>
      </c>
      <c r="C26" s="35" t="b">
        <v>0</v>
      </c>
    </row>
    <row r="27">
      <c r="A27" s="33" t="s">
        <v>251</v>
      </c>
      <c r="B27" s="36" t="s">
        <v>252</v>
      </c>
      <c r="C27" s="35" t="b">
        <v>0</v>
      </c>
    </row>
    <row r="28">
      <c r="A28" s="33" t="s">
        <v>145</v>
      </c>
      <c r="B28" s="34" t="s">
        <v>146</v>
      </c>
      <c r="C28" s="35" t="b">
        <v>0</v>
      </c>
    </row>
    <row r="29">
      <c r="A29" s="33" t="s">
        <v>127</v>
      </c>
      <c r="B29" s="34" t="s">
        <v>128</v>
      </c>
      <c r="C29" s="35" t="b">
        <v>0</v>
      </c>
    </row>
    <row r="30">
      <c r="A30" s="33" t="s">
        <v>269</v>
      </c>
      <c r="B30" s="34" t="s">
        <v>270</v>
      </c>
      <c r="C30" s="35" t="b">
        <v>0</v>
      </c>
    </row>
    <row r="31">
      <c r="A31" s="33" t="s">
        <v>199</v>
      </c>
      <c r="B31" s="34" t="s">
        <v>200</v>
      </c>
      <c r="C31" s="35" t="b">
        <v>1</v>
      </c>
    </row>
    <row r="32">
      <c r="A32" s="33" t="s">
        <v>189</v>
      </c>
      <c r="B32" s="34" t="s">
        <v>190</v>
      </c>
      <c r="C32" s="35" t="b">
        <v>0</v>
      </c>
    </row>
    <row r="33">
      <c r="A33" s="33" t="s">
        <v>112</v>
      </c>
      <c r="B33" s="34" t="s">
        <v>113</v>
      </c>
      <c r="C33" s="35" t="b">
        <v>1</v>
      </c>
    </row>
    <row r="34">
      <c r="A34" s="33" t="s">
        <v>99</v>
      </c>
      <c r="B34" s="34" t="s">
        <v>100</v>
      </c>
      <c r="C34" s="35" t="b">
        <v>0</v>
      </c>
    </row>
    <row r="35">
      <c r="A35" s="33" t="s">
        <v>222</v>
      </c>
      <c r="B35" s="34" t="s">
        <v>223</v>
      </c>
      <c r="C35" s="35" t="b">
        <v>1</v>
      </c>
    </row>
    <row r="36">
      <c r="A36" s="33" t="s">
        <v>212</v>
      </c>
      <c r="B36" s="34" t="s">
        <v>213</v>
      </c>
      <c r="C36" s="35" t="b">
        <v>0</v>
      </c>
    </row>
    <row r="37">
      <c r="A37" s="33" t="s">
        <v>241</v>
      </c>
      <c r="B37" s="34" t="s">
        <v>242</v>
      </c>
      <c r="C37" s="35" t="b">
        <v>0</v>
      </c>
    </row>
    <row r="38">
      <c r="A38" s="33" t="s">
        <v>233</v>
      </c>
      <c r="B38" s="34" t="s">
        <v>234</v>
      </c>
      <c r="C38" s="35" t="b">
        <v>1</v>
      </c>
    </row>
    <row r="39">
      <c r="A39" s="33" t="s">
        <v>220</v>
      </c>
      <c r="B39" s="34" t="s">
        <v>221</v>
      </c>
      <c r="C39" s="35" t="b">
        <v>0</v>
      </c>
    </row>
    <row r="40">
      <c r="A40" s="33" t="s">
        <v>273</v>
      </c>
      <c r="B40" s="34" t="s">
        <v>274</v>
      </c>
      <c r="C40" s="35" t="b">
        <v>0</v>
      </c>
    </row>
    <row r="41">
      <c r="A41" s="33" t="s">
        <v>157</v>
      </c>
      <c r="B41" s="34" t="s">
        <v>158</v>
      </c>
      <c r="C41" s="35" t="b">
        <v>0</v>
      </c>
    </row>
    <row r="42">
      <c r="A42" s="33" t="s">
        <v>299</v>
      </c>
      <c r="B42" s="34" t="s">
        <v>300</v>
      </c>
      <c r="C42" s="35" t="b">
        <v>0</v>
      </c>
    </row>
    <row r="43">
      <c r="A43" s="33" t="s">
        <v>125</v>
      </c>
      <c r="B43" s="34" t="s">
        <v>126</v>
      </c>
      <c r="C43" s="35" t="b">
        <v>1</v>
      </c>
    </row>
    <row r="44">
      <c r="A44" s="33" t="s">
        <v>305</v>
      </c>
      <c r="B44" s="34" t="s">
        <v>306</v>
      </c>
      <c r="C44" s="35" t="b">
        <v>1</v>
      </c>
    </row>
    <row r="45">
      <c r="A45" s="33" t="s">
        <v>163</v>
      </c>
      <c r="B45" s="34" t="s">
        <v>164</v>
      </c>
      <c r="C45" s="35" t="b">
        <v>0</v>
      </c>
    </row>
    <row r="46">
      <c r="A46" s="33" t="s">
        <v>122</v>
      </c>
      <c r="B46" s="34" t="s">
        <v>123</v>
      </c>
      <c r="C46" s="35" t="b">
        <v>0</v>
      </c>
    </row>
    <row r="47">
      <c r="A47" s="33" t="s">
        <v>218</v>
      </c>
      <c r="B47" s="34" t="s">
        <v>219</v>
      </c>
      <c r="C47" s="35" t="b">
        <v>1</v>
      </c>
    </row>
    <row r="48">
      <c r="A48" s="33" t="s">
        <v>287</v>
      </c>
      <c r="B48" s="34" t="s">
        <v>288</v>
      </c>
      <c r="C48" s="35" t="b">
        <v>0</v>
      </c>
    </row>
    <row r="49">
      <c r="A49" s="33" t="s">
        <v>310</v>
      </c>
      <c r="B49" s="34" t="s">
        <v>311</v>
      </c>
      <c r="C49" s="35" t="b">
        <v>0</v>
      </c>
    </row>
    <row r="50">
      <c r="A50" s="33" t="s">
        <v>177</v>
      </c>
      <c r="B50" s="34" t="s">
        <v>178</v>
      </c>
      <c r="C50" s="35" t="b">
        <v>1</v>
      </c>
    </row>
    <row r="51">
      <c r="A51" s="33" t="s">
        <v>131</v>
      </c>
      <c r="B51" s="34" t="s">
        <v>132</v>
      </c>
      <c r="C51" s="35" t="b">
        <v>0</v>
      </c>
    </row>
    <row r="52">
      <c r="A52" s="33" t="s">
        <v>133</v>
      </c>
      <c r="B52" s="34" t="s">
        <v>134</v>
      </c>
      <c r="C52" s="35" t="b">
        <v>1</v>
      </c>
    </row>
    <row r="53">
      <c r="A53" s="33" t="s">
        <v>294</v>
      </c>
      <c r="B53" s="34" t="s">
        <v>295</v>
      </c>
      <c r="C53" s="35" t="b">
        <v>0</v>
      </c>
    </row>
    <row r="54">
      <c r="A54" s="33" t="s">
        <v>301</v>
      </c>
      <c r="B54" s="34" t="s">
        <v>302</v>
      </c>
      <c r="C54" s="35" t="b">
        <v>0</v>
      </c>
    </row>
    <row r="55">
      <c r="A55" s="33" t="s">
        <v>243</v>
      </c>
      <c r="B55" s="34" t="s">
        <v>244</v>
      </c>
      <c r="C55" s="35" t="b">
        <v>1</v>
      </c>
    </row>
    <row r="56">
      <c r="A56" s="33" t="s">
        <v>308</v>
      </c>
      <c r="B56" s="34" t="s">
        <v>309</v>
      </c>
      <c r="C56" s="35" t="b">
        <v>1</v>
      </c>
    </row>
    <row r="57">
      <c r="A57" s="33" t="s">
        <v>207</v>
      </c>
      <c r="B57" s="34" t="s">
        <v>208</v>
      </c>
      <c r="C57" s="35" t="b">
        <v>0</v>
      </c>
    </row>
    <row r="58">
      <c r="A58" s="33" t="s">
        <v>155</v>
      </c>
      <c r="B58" s="34" t="s">
        <v>156</v>
      </c>
      <c r="C58" s="35" t="b">
        <v>0</v>
      </c>
    </row>
    <row r="59">
      <c r="A59" s="33" t="s">
        <v>197</v>
      </c>
      <c r="B59" s="34" t="s">
        <v>198</v>
      </c>
      <c r="C59" s="35" t="b">
        <v>0</v>
      </c>
    </row>
    <row r="60">
      <c r="A60" s="33" t="s">
        <v>236</v>
      </c>
      <c r="B60" s="34" t="s">
        <v>237</v>
      </c>
      <c r="C60" s="35" t="b">
        <v>1</v>
      </c>
    </row>
    <row r="61">
      <c r="A61" s="33" t="s">
        <v>261</v>
      </c>
      <c r="B61" s="34" t="s">
        <v>262</v>
      </c>
      <c r="C61" s="35" t="b">
        <v>0</v>
      </c>
    </row>
    <row r="62">
      <c r="A62" s="33" t="s">
        <v>205</v>
      </c>
      <c r="B62" s="34" t="s">
        <v>206</v>
      </c>
      <c r="C62" s="35" t="b">
        <v>1</v>
      </c>
    </row>
    <row r="63">
      <c r="A63" s="33" t="s">
        <v>289</v>
      </c>
      <c r="B63" s="34" t="s">
        <v>290</v>
      </c>
      <c r="C63" s="35" t="b">
        <v>0</v>
      </c>
    </row>
    <row r="64">
      <c r="A64" s="33" t="s">
        <v>209</v>
      </c>
      <c r="B64" s="34" t="s">
        <v>210</v>
      </c>
      <c r="C64" s="35" t="b">
        <v>1</v>
      </c>
    </row>
    <row r="65">
      <c r="A65" s="33" t="s">
        <v>175</v>
      </c>
      <c r="B65" s="34" t="s">
        <v>176</v>
      </c>
      <c r="C65" s="35" t="b">
        <v>1</v>
      </c>
    </row>
    <row r="66">
      <c r="A66" s="33" t="s">
        <v>292</v>
      </c>
      <c r="B66" s="34" t="s">
        <v>293</v>
      </c>
      <c r="C66" s="35" t="b">
        <v>1</v>
      </c>
    </row>
    <row r="67">
      <c r="A67" s="33" t="s">
        <v>118</v>
      </c>
      <c r="B67" s="34" t="s">
        <v>119</v>
      </c>
      <c r="C67" s="35" t="b">
        <v>1</v>
      </c>
    </row>
    <row r="68">
      <c r="A68" s="33" t="s">
        <v>224</v>
      </c>
      <c r="B68" s="34" t="s">
        <v>225</v>
      </c>
      <c r="C68" s="35" t="b">
        <v>1</v>
      </c>
    </row>
    <row r="69">
      <c r="A69" s="33" t="s">
        <v>253</v>
      </c>
      <c r="B69" s="36" t="s">
        <v>254</v>
      </c>
      <c r="C69" s="35" t="b">
        <v>0</v>
      </c>
    </row>
    <row r="70">
      <c r="A70" s="33" t="s">
        <v>191</v>
      </c>
      <c r="B70" s="34" t="s">
        <v>192</v>
      </c>
      <c r="C70" s="35" t="b">
        <v>1</v>
      </c>
    </row>
    <row r="71">
      <c r="A71" s="33" t="s">
        <v>303</v>
      </c>
      <c r="B71" s="34" t="s">
        <v>304</v>
      </c>
      <c r="C71" s="35" t="b">
        <v>0</v>
      </c>
    </row>
    <row r="72">
      <c r="A72" s="33" t="s">
        <v>285</v>
      </c>
      <c r="B72" s="34" t="s">
        <v>286</v>
      </c>
      <c r="C72" s="35" t="b">
        <v>0</v>
      </c>
    </row>
    <row r="73">
      <c r="A73" s="33" t="s">
        <v>149</v>
      </c>
      <c r="B73" s="34" t="s">
        <v>150</v>
      </c>
      <c r="C73" s="35" t="b">
        <v>0</v>
      </c>
    </row>
    <row r="74">
      <c r="A74" s="33" t="s">
        <v>107</v>
      </c>
      <c r="B74" s="34" t="s">
        <v>108</v>
      </c>
      <c r="C74" s="35" t="b">
        <v>0</v>
      </c>
    </row>
    <row r="75">
      <c r="A75" s="33" t="s">
        <v>231</v>
      </c>
      <c r="B75" s="34" t="s">
        <v>232</v>
      </c>
      <c r="C75" s="35" t="b">
        <v>1</v>
      </c>
    </row>
    <row r="76">
      <c r="A76" s="33" t="s">
        <v>181</v>
      </c>
      <c r="B76" s="34" t="s">
        <v>182</v>
      </c>
      <c r="C76" s="35" t="b">
        <v>1</v>
      </c>
    </row>
    <row r="77">
      <c r="A77" s="33" t="s">
        <v>257</v>
      </c>
      <c r="B77" s="34" t="s">
        <v>258</v>
      </c>
      <c r="C77" s="35" t="b">
        <v>0</v>
      </c>
    </row>
    <row r="78">
      <c r="A78" s="33" t="s">
        <v>179</v>
      </c>
      <c r="B78" s="34" t="s">
        <v>180</v>
      </c>
      <c r="C78" s="35" t="b">
        <v>0</v>
      </c>
    </row>
    <row r="79">
      <c r="A79" s="33" t="s">
        <v>159</v>
      </c>
      <c r="B79" s="34" t="s">
        <v>160</v>
      </c>
      <c r="C79" s="35" t="b">
        <v>0</v>
      </c>
    </row>
    <row r="80">
      <c r="A80" s="33" t="s">
        <v>109</v>
      </c>
      <c r="B80" s="34" t="s">
        <v>110</v>
      </c>
      <c r="C80" s="35" t="b">
        <v>1</v>
      </c>
    </row>
    <row r="81">
      <c r="A81" s="33" t="s">
        <v>185</v>
      </c>
      <c r="B81" s="34" t="s">
        <v>186</v>
      </c>
      <c r="C81" s="35" t="b">
        <v>1</v>
      </c>
    </row>
    <row r="82">
      <c r="A82" s="33" t="s">
        <v>161</v>
      </c>
      <c r="B82" s="34" t="s">
        <v>162</v>
      </c>
      <c r="C82" s="35" t="b">
        <v>0</v>
      </c>
    </row>
    <row r="83">
      <c r="A83" s="33" t="s">
        <v>187</v>
      </c>
      <c r="B83" s="34" t="s">
        <v>188</v>
      </c>
      <c r="C83" s="35" t="b">
        <v>1</v>
      </c>
    </row>
    <row r="84">
      <c r="A84" s="33" t="s">
        <v>137</v>
      </c>
      <c r="B84" s="34" t="s">
        <v>138</v>
      </c>
      <c r="C84" s="35" t="b">
        <v>1</v>
      </c>
    </row>
    <row r="85">
      <c r="A85" s="33" t="s">
        <v>275</v>
      </c>
      <c r="B85" s="34" t="s">
        <v>276</v>
      </c>
      <c r="C85" s="35" t="b">
        <v>1</v>
      </c>
    </row>
    <row r="86">
      <c r="A86" s="33" t="s">
        <v>139</v>
      </c>
      <c r="B86" s="34" t="s">
        <v>140</v>
      </c>
      <c r="C86" s="35" t="b">
        <v>1</v>
      </c>
    </row>
    <row r="87">
      <c r="A87" s="33" t="s">
        <v>263</v>
      </c>
      <c r="B87" s="34" t="s">
        <v>264</v>
      </c>
      <c r="C87" s="35" t="b">
        <v>1</v>
      </c>
    </row>
    <row r="88">
      <c r="A88" s="33" t="s">
        <v>259</v>
      </c>
      <c r="B88" s="34" t="s">
        <v>260</v>
      </c>
      <c r="C88" s="35" t="b">
        <v>0</v>
      </c>
    </row>
    <row r="89">
      <c r="A89" s="33" t="s">
        <v>116</v>
      </c>
      <c r="B89" s="34" t="s">
        <v>117</v>
      </c>
      <c r="C89" s="35" t="b">
        <v>1</v>
      </c>
    </row>
    <row r="90">
      <c r="A90" s="33" t="s">
        <v>114</v>
      </c>
      <c r="B90" s="34" t="s">
        <v>115</v>
      </c>
      <c r="C90" s="35" t="b">
        <v>0</v>
      </c>
    </row>
    <row r="91">
      <c r="A91" s="33" t="s">
        <v>103</v>
      </c>
      <c r="B91" s="34" t="s">
        <v>104</v>
      </c>
      <c r="C91" s="35" t="b">
        <v>0</v>
      </c>
    </row>
    <row r="92">
      <c r="A92" s="33" t="s">
        <v>135</v>
      </c>
      <c r="B92" s="34" t="s">
        <v>136</v>
      </c>
      <c r="C92" s="35" t="b">
        <v>0</v>
      </c>
    </row>
    <row r="93">
      <c r="A93" s="33" t="s">
        <v>167</v>
      </c>
      <c r="B93" s="34" t="s">
        <v>168</v>
      </c>
      <c r="C93" s="35" t="b">
        <v>1</v>
      </c>
    </row>
    <row r="94">
      <c r="A94" s="33" t="s">
        <v>169</v>
      </c>
      <c r="B94" s="34" t="s">
        <v>170</v>
      </c>
      <c r="C94" s="35" t="b">
        <v>1</v>
      </c>
    </row>
    <row r="95">
      <c r="A95" s="33" t="s">
        <v>249</v>
      </c>
      <c r="B95" s="34" t="s">
        <v>250</v>
      </c>
      <c r="C95" s="35" t="b">
        <v>1</v>
      </c>
    </row>
    <row r="96">
      <c r="A96" s="33" t="s">
        <v>245</v>
      </c>
      <c r="B96" s="34" t="s">
        <v>246</v>
      </c>
      <c r="C96" s="35" t="b">
        <v>0</v>
      </c>
    </row>
    <row r="97">
      <c r="A97" s="33" t="s">
        <v>238</v>
      </c>
      <c r="B97" s="34" t="s">
        <v>239</v>
      </c>
      <c r="C97" s="35" t="b">
        <v>0</v>
      </c>
    </row>
    <row r="98">
      <c r="A98" s="33" t="s">
        <v>193</v>
      </c>
      <c r="B98" s="34" t="s">
        <v>194</v>
      </c>
      <c r="C98" s="35" t="b">
        <v>1</v>
      </c>
    </row>
    <row r="99">
      <c r="A99" s="33" t="s">
        <v>271</v>
      </c>
      <c r="B99" s="34" t="s">
        <v>272</v>
      </c>
      <c r="C99" s="35" t="b">
        <v>0</v>
      </c>
    </row>
    <row r="100">
      <c r="A100" s="33" t="s">
        <v>147</v>
      </c>
      <c r="B100" s="34" t="s">
        <v>148</v>
      </c>
      <c r="C100" s="35" t="b">
        <v>0</v>
      </c>
    </row>
    <row r="101">
      <c r="A101" s="33" t="s">
        <v>173</v>
      </c>
      <c r="B101" s="34" t="s">
        <v>174</v>
      </c>
      <c r="C101" s="35" t="b">
        <v>0</v>
      </c>
    </row>
  </sheetData>
  <dataValidations>
    <dataValidation type="list" allowBlank="1" showErrorMessage="1" sqref="C2:C101">
      <formula1>"TO DO,TRUE,FALSE,SKIP"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2.63"/>
    <col customWidth="1" min="3" max="3" width="19.75"/>
    <col customWidth="1" min="4" max="4" width="60.63"/>
  </cols>
  <sheetData>
    <row r="1">
      <c r="A1" s="30" t="s">
        <v>95</v>
      </c>
      <c r="B1" s="31" t="s">
        <v>96</v>
      </c>
      <c r="C1" s="32" t="s">
        <v>97</v>
      </c>
      <c r="D1" s="23" t="s">
        <v>98</v>
      </c>
    </row>
    <row r="2">
      <c r="A2" s="33" t="s">
        <v>107</v>
      </c>
      <c r="B2" s="34" t="s">
        <v>108</v>
      </c>
      <c r="C2" s="35" t="b">
        <v>0</v>
      </c>
    </row>
    <row r="3">
      <c r="A3" s="33" t="s">
        <v>112</v>
      </c>
      <c r="B3" s="34" t="s">
        <v>113</v>
      </c>
      <c r="C3" s="35" t="b">
        <v>1</v>
      </c>
    </row>
    <row r="4">
      <c r="A4" s="33" t="s">
        <v>175</v>
      </c>
      <c r="B4" s="34" t="s">
        <v>176</v>
      </c>
      <c r="C4" s="35" t="b">
        <v>1</v>
      </c>
    </row>
    <row r="5">
      <c r="A5" s="33" t="s">
        <v>189</v>
      </c>
      <c r="B5" s="34" t="s">
        <v>190</v>
      </c>
      <c r="C5" s="35" t="b">
        <v>0</v>
      </c>
    </row>
    <row r="6">
      <c r="A6" s="33" t="s">
        <v>271</v>
      </c>
      <c r="B6" s="34" t="s">
        <v>272</v>
      </c>
      <c r="C6" s="35" t="b">
        <v>0</v>
      </c>
      <c r="D6" s="5" t="s">
        <v>315</v>
      </c>
    </row>
    <row r="7">
      <c r="A7" s="33" t="s">
        <v>310</v>
      </c>
      <c r="B7" s="34" t="s">
        <v>311</v>
      </c>
      <c r="C7" s="35" t="b">
        <v>0</v>
      </c>
      <c r="D7" s="5" t="s">
        <v>316</v>
      </c>
    </row>
    <row r="8">
      <c r="A8" s="33" t="s">
        <v>171</v>
      </c>
      <c r="B8" s="34" t="s">
        <v>172</v>
      </c>
      <c r="C8" s="35" t="b">
        <v>1</v>
      </c>
    </row>
    <row r="9">
      <c r="A9" s="33" t="s">
        <v>285</v>
      </c>
      <c r="B9" s="34" t="s">
        <v>286</v>
      </c>
      <c r="C9" s="35" t="b">
        <v>0</v>
      </c>
    </row>
    <row r="10">
      <c r="A10" s="33" t="s">
        <v>105</v>
      </c>
      <c r="B10" s="34" t="s">
        <v>106</v>
      </c>
      <c r="C10" s="35" t="b">
        <v>1</v>
      </c>
    </row>
    <row r="11">
      <c r="A11" s="33" t="s">
        <v>181</v>
      </c>
      <c r="B11" s="34" t="s">
        <v>182</v>
      </c>
      <c r="C11" s="35" t="b">
        <v>1</v>
      </c>
    </row>
    <row r="12">
      <c r="A12" s="33" t="s">
        <v>187</v>
      </c>
      <c r="B12" s="34" t="s">
        <v>188</v>
      </c>
      <c r="C12" s="35" t="b">
        <v>1</v>
      </c>
    </row>
    <row r="13">
      <c r="A13" s="33" t="s">
        <v>167</v>
      </c>
      <c r="B13" s="34" t="s">
        <v>168</v>
      </c>
      <c r="C13" s="35" t="b">
        <v>1</v>
      </c>
    </row>
    <row r="14">
      <c r="A14" s="33" t="s">
        <v>292</v>
      </c>
      <c r="B14" s="34" t="s">
        <v>293</v>
      </c>
      <c r="C14" s="35" t="b">
        <v>1</v>
      </c>
    </row>
    <row r="15">
      <c r="A15" s="33" t="s">
        <v>205</v>
      </c>
      <c r="B15" s="34" t="s">
        <v>206</v>
      </c>
      <c r="C15" s="35" t="b">
        <v>0</v>
      </c>
      <c r="D15" s="5" t="s">
        <v>317</v>
      </c>
    </row>
    <row r="16">
      <c r="A16" s="33" t="s">
        <v>275</v>
      </c>
      <c r="B16" s="34" t="s">
        <v>276</v>
      </c>
      <c r="C16" s="35" t="b">
        <v>0</v>
      </c>
    </row>
    <row r="17">
      <c r="A17" s="33" t="s">
        <v>236</v>
      </c>
      <c r="B17" s="34" t="s">
        <v>237</v>
      </c>
      <c r="C17" s="35" t="b">
        <v>0</v>
      </c>
    </row>
    <row r="18">
      <c r="A18" s="33" t="s">
        <v>278</v>
      </c>
      <c r="B18" s="34" t="s">
        <v>279</v>
      </c>
      <c r="C18" s="35" t="b">
        <v>0</v>
      </c>
      <c r="D18" s="5" t="s">
        <v>318</v>
      </c>
    </row>
    <row r="19">
      <c r="A19" s="33" t="s">
        <v>129</v>
      </c>
      <c r="B19" s="34" t="s">
        <v>130</v>
      </c>
      <c r="C19" s="35" t="b">
        <v>0</v>
      </c>
      <c r="D19" s="5" t="s">
        <v>319</v>
      </c>
    </row>
    <row r="20">
      <c r="A20" s="33" t="s">
        <v>231</v>
      </c>
      <c r="B20" s="34" t="s">
        <v>232</v>
      </c>
      <c r="C20" s="35" t="b">
        <v>1</v>
      </c>
    </row>
    <row r="21">
      <c r="A21" s="33" t="s">
        <v>283</v>
      </c>
      <c r="B21" s="34" t="s">
        <v>284</v>
      </c>
      <c r="C21" s="35" t="b">
        <v>0</v>
      </c>
    </row>
    <row r="22">
      <c r="A22" s="33" t="s">
        <v>127</v>
      </c>
      <c r="B22" s="34" t="s">
        <v>128</v>
      </c>
      <c r="C22" s="35" t="b">
        <v>0</v>
      </c>
    </row>
    <row r="23">
      <c r="A23" s="33" t="s">
        <v>209</v>
      </c>
      <c r="B23" s="34" t="s">
        <v>210</v>
      </c>
      <c r="C23" s="35" t="b">
        <v>0</v>
      </c>
    </row>
    <row r="24">
      <c r="A24" s="33" t="s">
        <v>259</v>
      </c>
      <c r="B24" s="34" t="s">
        <v>260</v>
      </c>
      <c r="C24" s="35" t="b">
        <v>0</v>
      </c>
    </row>
    <row r="25">
      <c r="A25" s="33" t="s">
        <v>255</v>
      </c>
      <c r="B25" s="34" t="s">
        <v>256</v>
      </c>
      <c r="C25" s="35" t="b">
        <v>1</v>
      </c>
    </row>
    <row r="26">
      <c r="A26" s="33" t="s">
        <v>308</v>
      </c>
      <c r="B26" s="34" t="s">
        <v>309</v>
      </c>
      <c r="C26" s="35" t="b">
        <v>0</v>
      </c>
      <c r="D26" s="5" t="s">
        <v>320</v>
      </c>
    </row>
    <row r="27">
      <c r="A27" s="33" t="s">
        <v>114</v>
      </c>
      <c r="B27" s="34" t="s">
        <v>115</v>
      </c>
      <c r="C27" s="35" t="b">
        <v>1</v>
      </c>
      <c r="D27" s="5" t="s">
        <v>321</v>
      </c>
    </row>
    <row r="28">
      <c r="A28" s="33" t="s">
        <v>299</v>
      </c>
      <c r="B28" s="34" t="s">
        <v>300</v>
      </c>
      <c r="C28" s="35" t="b">
        <v>0</v>
      </c>
    </row>
    <row r="29">
      <c r="A29" s="33" t="s">
        <v>152</v>
      </c>
      <c r="B29" s="34" t="s">
        <v>153</v>
      </c>
      <c r="C29" s="35" t="b">
        <v>1</v>
      </c>
      <c r="D29" s="5" t="s">
        <v>322</v>
      </c>
    </row>
    <row r="30">
      <c r="A30" s="33" t="s">
        <v>135</v>
      </c>
      <c r="B30" s="34" t="s">
        <v>136</v>
      </c>
      <c r="C30" s="35" t="b">
        <v>0</v>
      </c>
    </row>
    <row r="31">
      <c r="A31" s="33" t="s">
        <v>109</v>
      </c>
      <c r="B31" s="34" t="s">
        <v>110</v>
      </c>
      <c r="C31" s="35" t="b">
        <v>1</v>
      </c>
      <c r="D31" s="5" t="s">
        <v>323</v>
      </c>
    </row>
    <row r="32">
      <c r="A32" s="33" t="s">
        <v>169</v>
      </c>
      <c r="B32" s="34" t="s">
        <v>170</v>
      </c>
      <c r="C32" s="35" t="b">
        <v>1</v>
      </c>
    </row>
    <row r="33">
      <c r="A33" s="33" t="s">
        <v>218</v>
      </c>
      <c r="B33" s="34" t="s">
        <v>219</v>
      </c>
      <c r="C33" s="35" t="b">
        <v>0</v>
      </c>
    </row>
    <row r="34">
      <c r="A34" s="33" t="s">
        <v>177</v>
      </c>
      <c r="B34" s="34" t="s">
        <v>178</v>
      </c>
      <c r="C34" s="35" t="b">
        <v>0</v>
      </c>
    </row>
    <row r="35">
      <c r="A35" s="33" t="s">
        <v>229</v>
      </c>
      <c r="B35" s="34" t="s">
        <v>230</v>
      </c>
      <c r="C35" s="35" t="b">
        <v>1</v>
      </c>
      <c r="D35" s="5" t="s">
        <v>324</v>
      </c>
    </row>
    <row r="36">
      <c r="A36" s="33" t="s">
        <v>243</v>
      </c>
      <c r="B36" s="34" t="s">
        <v>244</v>
      </c>
      <c r="C36" s="35" t="b">
        <v>0</v>
      </c>
    </row>
    <row r="37">
      <c r="A37" s="33" t="s">
        <v>263</v>
      </c>
      <c r="B37" s="34" t="s">
        <v>264</v>
      </c>
      <c r="C37" s="35" t="b">
        <v>1</v>
      </c>
    </row>
    <row r="38">
      <c r="A38" s="33" t="s">
        <v>207</v>
      </c>
      <c r="B38" s="34" t="s">
        <v>208</v>
      </c>
      <c r="C38" s="35" t="b">
        <v>0</v>
      </c>
      <c r="D38" s="5" t="s">
        <v>325</v>
      </c>
    </row>
    <row r="39">
      <c r="A39" s="33" t="s">
        <v>216</v>
      </c>
      <c r="B39" s="34" t="s">
        <v>217</v>
      </c>
      <c r="C39" s="35" t="b">
        <v>0</v>
      </c>
      <c r="D39" s="5" t="s">
        <v>326</v>
      </c>
    </row>
    <row r="40">
      <c r="A40" s="33" t="s">
        <v>257</v>
      </c>
      <c r="B40" s="34" t="s">
        <v>258</v>
      </c>
      <c r="C40" s="35" t="b">
        <v>0</v>
      </c>
    </row>
    <row r="41">
      <c r="A41" s="33" t="s">
        <v>193</v>
      </c>
      <c r="B41" s="34" t="s">
        <v>194</v>
      </c>
      <c r="C41" s="35" t="b">
        <v>1</v>
      </c>
    </row>
    <row r="42">
      <c r="A42" s="33" t="s">
        <v>116</v>
      </c>
      <c r="B42" s="34" t="s">
        <v>117</v>
      </c>
      <c r="C42" s="35" t="b">
        <v>0</v>
      </c>
    </row>
    <row r="43">
      <c r="A43" s="33" t="s">
        <v>249</v>
      </c>
      <c r="B43" s="34" t="s">
        <v>250</v>
      </c>
      <c r="C43" s="35" t="b">
        <v>1</v>
      </c>
    </row>
    <row r="44">
      <c r="A44" s="33" t="s">
        <v>305</v>
      </c>
      <c r="B44" s="34" t="s">
        <v>306</v>
      </c>
      <c r="C44" s="35" t="b">
        <v>1</v>
      </c>
    </row>
    <row r="45">
      <c r="A45" s="33" t="s">
        <v>220</v>
      </c>
      <c r="B45" s="34" t="s">
        <v>221</v>
      </c>
      <c r="C45" s="35" t="b">
        <v>0</v>
      </c>
      <c r="D45" s="5" t="s">
        <v>327</v>
      </c>
    </row>
    <row r="46">
      <c r="A46" s="33" t="s">
        <v>183</v>
      </c>
      <c r="B46" s="34" t="s">
        <v>184</v>
      </c>
      <c r="C46" s="35" t="b">
        <v>0</v>
      </c>
    </row>
    <row r="47">
      <c r="A47" s="33" t="s">
        <v>99</v>
      </c>
      <c r="B47" s="34" t="s">
        <v>100</v>
      </c>
      <c r="C47" s="35" t="b">
        <v>0</v>
      </c>
    </row>
    <row r="48">
      <c r="A48" s="33" t="s">
        <v>145</v>
      </c>
      <c r="B48" s="34" t="s">
        <v>146</v>
      </c>
      <c r="C48" s="35" t="b">
        <v>0</v>
      </c>
    </row>
    <row r="49">
      <c r="A49" s="33" t="s">
        <v>201</v>
      </c>
      <c r="B49" s="34" t="s">
        <v>202</v>
      </c>
      <c r="C49" s="35" t="b">
        <v>1</v>
      </c>
    </row>
    <row r="50">
      <c r="A50" s="33" t="s">
        <v>265</v>
      </c>
      <c r="B50" s="34" t="s">
        <v>266</v>
      </c>
      <c r="C50" s="35" t="b">
        <v>1</v>
      </c>
    </row>
    <row r="51">
      <c r="A51" s="33" t="s">
        <v>139</v>
      </c>
      <c r="B51" s="34" t="s">
        <v>140</v>
      </c>
      <c r="C51" s="35" t="b">
        <v>1</v>
      </c>
    </row>
    <row r="52">
      <c r="A52" s="33" t="s">
        <v>120</v>
      </c>
      <c r="B52" s="34" t="s">
        <v>121</v>
      </c>
      <c r="C52" s="35" t="b">
        <v>0</v>
      </c>
    </row>
    <row r="53">
      <c r="A53" s="33" t="s">
        <v>195</v>
      </c>
      <c r="B53" s="34" t="s">
        <v>196</v>
      </c>
      <c r="C53" s="35" t="b">
        <v>1</v>
      </c>
    </row>
    <row r="54">
      <c r="A54" s="33" t="s">
        <v>253</v>
      </c>
      <c r="B54" s="34" t="s">
        <v>254</v>
      </c>
      <c r="C54" s="35" t="b">
        <v>1</v>
      </c>
      <c r="D54" s="5" t="s">
        <v>328</v>
      </c>
    </row>
    <row r="55">
      <c r="A55" s="33" t="s">
        <v>159</v>
      </c>
      <c r="B55" s="34" t="s">
        <v>160</v>
      </c>
      <c r="C55" s="35" t="b">
        <v>0</v>
      </c>
      <c r="D55" s="5" t="s">
        <v>329</v>
      </c>
    </row>
    <row r="56">
      <c r="A56" s="33" t="s">
        <v>125</v>
      </c>
      <c r="B56" s="34" t="s">
        <v>126</v>
      </c>
      <c r="C56" s="35" t="b">
        <v>1</v>
      </c>
    </row>
    <row r="57">
      <c r="A57" s="33" t="s">
        <v>101</v>
      </c>
      <c r="B57" s="34" t="s">
        <v>102</v>
      </c>
      <c r="C57" s="35" t="b">
        <v>0</v>
      </c>
    </row>
    <row r="58">
      <c r="A58" s="33" t="s">
        <v>185</v>
      </c>
      <c r="B58" s="34" t="s">
        <v>186</v>
      </c>
      <c r="C58" s="35" t="b">
        <v>1</v>
      </c>
    </row>
    <row r="59">
      <c r="A59" s="33" t="s">
        <v>199</v>
      </c>
      <c r="B59" s="34" t="s">
        <v>200</v>
      </c>
      <c r="C59" s="35" t="b">
        <v>0</v>
      </c>
      <c r="D59" s="5" t="s">
        <v>330</v>
      </c>
    </row>
    <row r="60">
      <c r="A60" s="33" t="s">
        <v>173</v>
      </c>
      <c r="B60" s="34" t="s">
        <v>174</v>
      </c>
      <c r="C60" s="35" t="b">
        <v>1</v>
      </c>
      <c r="D60" s="5" t="s">
        <v>331</v>
      </c>
    </row>
    <row r="61">
      <c r="A61" s="33" t="s">
        <v>214</v>
      </c>
      <c r="B61" s="34" t="s">
        <v>215</v>
      </c>
      <c r="C61" s="35" t="b">
        <v>1</v>
      </c>
    </row>
    <row r="62">
      <c r="A62" s="33" t="s">
        <v>165</v>
      </c>
      <c r="B62" s="34" t="s">
        <v>166</v>
      </c>
      <c r="C62" s="35" t="b">
        <v>1</v>
      </c>
      <c r="D62" s="5" t="s">
        <v>332</v>
      </c>
    </row>
    <row r="63">
      <c r="A63" s="33" t="s">
        <v>245</v>
      </c>
      <c r="B63" s="34" t="s">
        <v>246</v>
      </c>
      <c r="C63" s="35" t="b">
        <v>0</v>
      </c>
    </row>
    <row r="64">
      <c r="A64" s="33" t="s">
        <v>179</v>
      </c>
      <c r="B64" s="34" t="s">
        <v>180</v>
      </c>
      <c r="C64" s="35" t="b">
        <v>0</v>
      </c>
    </row>
    <row r="65">
      <c r="A65" s="33" t="s">
        <v>233</v>
      </c>
      <c r="B65" s="34" t="s">
        <v>234</v>
      </c>
      <c r="C65" s="35" t="b">
        <v>1</v>
      </c>
      <c r="D65" s="5" t="s">
        <v>333</v>
      </c>
    </row>
    <row r="66">
      <c r="A66" s="33" t="s">
        <v>287</v>
      </c>
      <c r="B66" s="34" t="s">
        <v>288</v>
      </c>
      <c r="C66" s="35" t="b">
        <v>0</v>
      </c>
    </row>
    <row r="67">
      <c r="A67" s="33" t="s">
        <v>133</v>
      </c>
      <c r="B67" s="34" t="s">
        <v>134</v>
      </c>
      <c r="C67" s="35" t="b">
        <v>0</v>
      </c>
      <c r="D67" s="5" t="s">
        <v>334</v>
      </c>
    </row>
    <row r="68">
      <c r="A68" s="33" t="s">
        <v>294</v>
      </c>
      <c r="B68" s="34" t="s">
        <v>295</v>
      </c>
      <c r="C68" s="35" t="b">
        <v>0</v>
      </c>
    </row>
    <row r="69">
      <c r="A69" s="33" t="s">
        <v>118</v>
      </c>
      <c r="B69" s="34" t="s">
        <v>119</v>
      </c>
      <c r="C69" s="35" t="b">
        <v>1</v>
      </c>
    </row>
    <row r="70">
      <c r="A70" s="33" t="s">
        <v>212</v>
      </c>
      <c r="B70" s="34" t="s">
        <v>213</v>
      </c>
      <c r="C70" s="35" t="b">
        <v>0</v>
      </c>
      <c r="D70" s="5" t="s">
        <v>335</v>
      </c>
    </row>
    <row r="71">
      <c r="A71" s="33" t="s">
        <v>157</v>
      </c>
      <c r="B71" s="34" t="s">
        <v>158</v>
      </c>
      <c r="C71" s="35" t="b">
        <v>0</v>
      </c>
    </row>
    <row r="72">
      <c r="A72" s="33" t="s">
        <v>281</v>
      </c>
      <c r="B72" s="34" t="s">
        <v>282</v>
      </c>
      <c r="C72" s="35" t="b">
        <v>1</v>
      </c>
    </row>
    <row r="73">
      <c r="A73" s="33" t="s">
        <v>103</v>
      </c>
      <c r="B73" s="34" t="s">
        <v>104</v>
      </c>
      <c r="C73" s="35" t="b">
        <v>0</v>
      </c>
    </row>
    <row r="74">
      <c r="A74" s="33" t="s">
        <v>222</v>
      </c>
      <c r="B74" s="34" t="s">
        <v>223</v>
      </c>
      <c r="C74" s="35" t="b">
        <v>1</v>
      </c>
    </row>
    <row r="75">
      <c r="A75" s="33" t="s">
        <v>289</v>
      </c>
      <c r="B75" s="34" t="s">
        <v>290</v>
      </c>
      <c r="C75" s="35" t="b">
        <v>1</v>
      </c>
    </row>
    <row r="76">
      <c r="A76" s="33" t="s">
        <v>203</v>
      </c>
      <c r="B76" s="34" t="s">
        <v>204</v>
      </c>
      <c r="C76" s="35" t="b">
        <v>1</v>
      </c>
    </row>
    <row r="77">
      <c r="A77" s="33" t="s">
        <v>267</v>
      </c>
      <c r="B77" s="34" t="s">
        <v>268</v>
      </c>
      <c r="C77" s="35" t="b">
        <v>1</v>
      </c>
    </row>
    <row r="78">
      <c r="A78" s="33" t="s">
        <v>163</v>
      </c>
      <c r="B78" s="34" t="s">
        <v>164</v>
      </c>
      <c r="C78" s="35" t="b">
        <v>0</v>
      </c>
    </row>
    <row r="79">
      <c r="A79" s="33" t="s">
        <v>161</v>
      </c>
      <c r="B79" s="34" t="s">
        <v>162</v>
      </c>
      <c r="C79" s="35" t="b">
        <v>0</v>
      </c>
    </row>
    <row r="80">
      <c r="A80" s="33" t="s">
        <v>247</v>
      </c>
      <c r="B80" s="34" t="s">
        <v>248</v>
      </c>
      <c r="C80" s="35" t="b">
        <v>1</v>
      </c>
      <c r="D80" s="5">
        <v>16.8</v>
      </c>
    </row>
    <row r="81">
      <c r="A81" s="33" t="s">
        <v>131</v>
      </c>
      <c r="B81" s="34" t="s">
        <v>132</v>
      </c>
      <c r="C81" s="35" t="b">
        <v>0</v>
      </c>
    </row>
    <row r="82">
      <c r="A82" s="33" t="s">
        <v>269</v>
      </c>
      <c r="B82" s="34" t="s">
        <v>270</v>
      </c>
      <c r="C82" s="35" t="b">
        <v>0</v>
      </c>
    </row>
    <row r="83">
      <c r="A83" s="33" t="s">
        <v>226</v>
      </c>
      <c r="B83" s="34" t="s">
        <v>227</v>
      </c>
      <c r="C83" s="35" t="b">
        <v>0</v>
      </c>
    </row>
    <row r="84">
      <c r="A84" s="33" t="s">
        <v>191</v>
      </c>
      <c r="B84" s="34" t="s">
        <v>192</v>
      </c>
      <c r="C84" s="35" t="b">
        <v>1</v>
      </c>
    </row>
    <row r="85">
      <c r="A85" s="33" t="s">
        <v>251</v>
      </c>
      <c r="B85" s="34" t="s">
        <v>252</v>
      </c>
      <c r="C85" s="35" t="b">
        <v>1</v>
      </c>
    </row>
    <row r="86">
      <c r="A86" s="33" t="s">
        <v>303</v>
      </c>
      <c r="B86" s="34" t="s">
        <v>304</v>
      </c>
      <c r="C86" s="35" t="b">
        <v>0</v>
      </c>
    </row>
    <row r="87">
      <c r="A87" s="33" t="s">
        <v>143</v>
      </c>
      <c r="B87" s="34" t="s">
        <v>144</v>
      </c>
      <c r="C87" s="35" t="b">
        <v>1</v>
      </c>
    </row>
    <row r="88">
      <c r="A88" s="33" t="s">
        <v>122</v>
      </c>
      <c r="B88" s="34" t="s">
        <v>123</v>
      </c>
      <c r="C88" s="35" t="b">
        <v>0</v>
      </c>
    </row>
    <row r="89">
      <c r="A89" s="33" t="s">
        <v>301</v>
      </c>
      <c r="B89" s="34" t="s">
        <v>302</v>
      </c>
      <c r="C89" s="35" t="b">
        <v>0</v>
      </c>
    </row>
    <row r="90">
      <c r="A90" s="33" t="s">
        <v>273</v>
      </c>
      <c r="B90" s="34" t="s">
        <v>274</v>
      </c>
      <c r="C90" s="35" t="b">
        <v>0</v>
      </c>
    </row>
    <row r="91">
      <c r="A91" s="33" t="s">
        <v>241</v>
      </c>
      <c r="B91" s="34" t="s">
        <v>242</v>
      </c>
      <c r="C91" s="35" t="b">
        <v>0</v>
      </c>
    </row>
    <row r="92">
      <c r="A92" s="33" t="s">
        <v>197</v>
      </c>
      <c r="B92" s="34" t="s">
        <v>198</v>
      </c>
      <c r="C92" s="35" t="b">
        <v>0</v>
      </c>
    </row>
    <row r="93">
      <c r="A93" s="33" t="s">
        <v>149</v>
      </c>
      <c r="B93" s="34" t="s">
        <v>150</v>
      </c>
      <c r="C93" s="35" t="b">
        <v>1</v>
      </c>
      <c r="D93" s="5" t="s">
        <v>336</v>
      </c>
    </row>
    <row r="94">
      <c r="A94" s="33" t="s">
        <v>141</v>
      </c>
      <c r="B94" s="34" t="s">
        <v>142</v>
      </c>
      <c r="C94" s="35" t="b">
        <v>0</v>
      </c>
      <c r="D94" s="5" t="s">
        <v>337</v>
      </c>
    </row>
    <row r="95">
      <c r="A95" s="33" t="s">
        <v>155</v>
      </c>
      <c r="B95" s="34" t="s">
        <v>156</v>
      </c>
      <c r="C95" s="35" t="b">
        <v>0</v>
      </c>
    </row>
    <row r="96">
      <c r="A96" s="33" t="s">
        <v>147</v>
      </c>
      <c r="B96" s="34" t="s">
        <v>148</v>
      </c>
      <c r="C96" s="35" t="b">
        <v>0</v>
      </c>
    </row>
    <row r="97">
      <c r="A97" s="33" t="s">
        <v>296</v>
      </c>
      <c r="B97" s="34" t="s">
        <v>297</v>
      </c>
      <c r="C97" s="35" t="b">
        <v>0</v>
      </c>
    </row>
    <row r="98">
      <c r="A98" s="33" t="s">
        <v>137</v>
      </c>
      <c r="B98" s="34" t="s">
        <v>138</v>
      </c>
      <c r="C98" s="35" t="b">
        <v>1</v>
      </c>
    </row>
    <row r="99">
      <c r="A99" s="33" t="s">
        <v>224</v>
      </c>
      <c r="B99" s="34" t="s">
        <v>225</v>
      </c>
      <c r="C99" s="35" t="b">
        <v>1</v>
      </c>
    </row>
    <row r="100">
      <c r="A100" s="33" t="s">
        <v>238</v>
      </c>
      <c r="B100" s="34" t="s">
        <v>239</v>
      </c>
      <c r="C100" s="35" t="b">
        <v>0</v>
      </c>
    </row>
    <row r="101">
      <c r="A101" s="33" t="s">
        <v>261</v>
      </c>
      <c r="B101" s="34" t="s">
        <v>262</v>
      </c>
      <c r="C101" s="35" t="b">
        <v>1</v>
      </c>
    </row>
  </sheetData>
  <dataValidations>
    <dataValidation type="list" allowBlank="1" showErrorMessage="1" sqref="C2:C101">
      <formula1>"TO DO,TRUE,FALSE,SKIP"</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0.25"/>
    <col customWidth="1" min="11" max="11" width="17.13"/>
  </cols>
  <sheetData>
    <row r="1">
      <c r="A1" s="37" t="s">
        <v>338</v>
      </c>
      <c r="B1" s="37" t="s">
        <v>339</v>
      </c>
      <c r="C1" s="37" t="s">
        <v>340</v>
      </c>
      <c r="D1" s="37" t="s">
        <v>341</v>
      </c>
      <c r="E1" s="37" t="s">
        <v>342</v>
      </c>
      <c r="F1" s="37" t="s">
        <v>343</v>
      </c>
      <c r="G1" s="37" t="s">
        <v>344</v>
      </c>
      <c r="H1" s="37" t="s">
        <v>345</v>
      </c>
      <c r="I1" s="38" t="s">
        <v>346</v>
      </c>
      <c r="J1" s="37" t="s">
        <v>347</v>
      </c>
      <c r="K1" s="39" t="s">
        <v>348</v>
      </c>
    </row>
    <row r="2">
      <c r="A2" s="40" t="s">
        <v>349</v>
      </c>
      <c r="B2" s="40" t="s">
        <v>257</v>
      </c>
      <c r="C2" s="40" t="s">
        <v>258</v>
      </c>
      <c r="D2" s="41">
        <v>16.0</v>
      </c>
      <c r="E2" s="42">
        <v>7.0</v>
      </c>
      <c r="F2" s="42">
        <v>0.0</v>
      </c>
      <c r="G2" s="42">
        <v>7.0</v>
      </c>
      <c r="H2" s="42">
        <v>1.0</v>
      </c>
      <c r="I2" s="43" t="b">
        <v>0</v>
      </c>
      <c r="J2" s="12" t="s">
        <v>350</v>
      </c>
      <c r="K2" s="42" t="s">
        <v>351</v>
      </c>
    </row>
    <row r="3">
      <c r="A3" s="40" t="s">
        <v>352</v>
      </c>
      <c r="B3" s="40" t="s">
        <v>209</v>
      </c>
      <c r="C3" s="40" t="s">
        <v>210</v>
      </c>
      <c r="D3" s="41">
        <v>16.0</v>
      </c>
      <c r="E3" s="42">
        <v>7.0</v>
      </c>
      <c r="F3" s="42">
        <v>0.0</v>
      </c>
      <c r="G3" s="42">
        <v>7.0</v>
      </c>
      <c r="H3" s="42">
        <v>1.0</v>
      </c>
      <c r="I3" s="43" t="b">
        <v>0</v>
      </c>
      <c r="J3" s="12" t="s">
        <v>350</v>
      </c>
      <c r="K3" s="42" t="s">
        <v>351</v>
      </c>
    </row>
    <row r="4">
      <c r="A4" s="40" t="s">
        <v>353</v>
      </c>
      <c r="B4" s="40" t="s">
        <v>271</v>
      </c>
      <c r="C4" s="40" t="s">
        <v>272</v>
      </c>
      <c r="D4" s="41">
        <v>16.0</v>
      </c>
      <c r="E4" s="42">
        <v>7.0</v>
      </c>
      <c r="F4" s="42">
        <v>0.0</v>
      </c>
      <c r="G4" s="42">
        <v>7.0</v>
      </c>
      <c r="H4" s="42">
        <v>1.0</v>
      </c>
      <c r="I4" s="43" t="b">
        <v>0</v>
      </c>
      <c r="J4" s="12" t="s">
        <v>350</v>
      </c>
      <c r="K4" s="42" t="s">
        <v>351</v>
      </c>
    </row>
    <row r="5">
      <c r="A5" s="40" t="s">
        <v>354</v>
      </c>
      <c r="B5" s="40" t="s">
        <v>197</v>
      </c>
      <c r="C5" s="40" t="s">
        <v>198</v>
      </c>
      <c r="D5" s="41">
        <v>16.0</v>
      </c>
      <c r="E5" s="42">
        <v>7.0</v>
      </c>
      <c r="F5" s="42">
        <v>0.0</v>
      </c>
      <c r="G5" s="42">
        <v>7.0</v>
      </c>
      <c r="H5" s="42">
        <v>1.0</v>
      </c>
      <c r="I5" s="43" t="b">
        <v>0</v>
      </c>
      <c r="J5" s="12" t="s">
        <v>350</v>
      </c>
      <c r="K5" s="42" t="s">
        <v>351</v>
      </c>
    </row>
    <row r="6">
      <c r="A6" s="40" t="s">
        <v>355</v>
      </c>
      <c r="B6" s="40" t="s">
        <v>222</v>
      </c>
      <c r="C6" s="40" t="s">
        <v>223</v>
      </c>
      <c r="D6" s="41">
        <v>16.0</v>
      </c>
      <c r="E6" s="42">
        <v>2.0</v>
      </c>
      <c r="F6" s="42">
        <v>78.0</v>
      </c>
      <c r="G6" s="42">
        <v>80.0</v>
      </c>
      <c r="H6" s="42">
        <v>0.95</v>
      </c>
      <c r="I6" s="43" t="b">
        <v>1</v>
      </c>
      <c r="J6" s="12" t="s">
        <v>350</v>
      </c>
      <c r="K6" s="42" t="s">
        <v>351</v>
      </c>
    </row>
    <row r="7">
      <c r="A7" s="40" t="s">
        <v>356</v>
      </c>
      <c r="B7" s="40" t="s">
        <v>265</v>
      </c>
      <c r="C7" s="40" t="s">
        <v>266</v>
      </c>
      <c r="D7" s="41">
        <v>16.0</v>
      </c>
      <c r="E7" s="42">
        <v>1.0</v>
      </c>
      <c r="F7" s="42">
        <v>24.0</v>
      </c>
      <c r="G7" s="42">
        <v>25.0</v>
      </c>
      <c r="H7" s="42">
        <v>0.92</v>
      </c>
      <c r="I7" s="43" t="b">
        <v>1</v>
      </c>
      <c r="J7" s="12" t="s">
        <v>350</v>
      </c>
      <c r="K7" s="42" t="s">
        <v>351</v>
      </c>
    </row>
    <row r="8">
      <c r="A8" s="40" t="s">
        <v>357</v>
      </c>
      <c r="B8" s="40" t="s">
        <v>218</v>
      </c>
      <c r="C8" s="40" t="s">
        <v>219</v>
      </c>
      <c r="D8" s="41">
        <v>16.0</v>
      </c>
      <c r="E8" s="42">
        <v>2.0</v>
      </c>
      <c r="F8" s="42">
        <v>35.0</v>
      </c>
      <c r="G8" s="42">
        <v>37.0</v>
      </c>
      <c r="H8" s="42">
        <v>0.891891891891891</v>
      </c>
      <c r="I8" s="43" t="b">
        <v>1</v>
      </c>
      <c r="J8" s="12" t="s">
        <v>350</v>
      </c>
      <c r="K8" s="42" t="s">
        <v>351</v>
      </c>
    </row>
    <row r="9">
      <c r="A9" s="40" t="s">
        <v>358</v>
      </c>
      <c r="B9" s="40" t="s">
        <v>141</v>
      </c>
      <c r="C9" s="40" t="s">
        <v>142</v>
      </c>
      <c r="D9" s="41">
        <v>16.0</v>
      </c>
      <c r="E9" s="42">
        <v>2.0</v>
      </c>
      <c r="F9" s="42">
        <v>24.0</v>
      </c>
      <c r="G9" s="42">
        <v>26.0</v>
      </c>
      <c r="H9" s="42">
        <v>0.846153846153846</v>
      </c>
      <c r="I9" s="43" t="b">
        <v>1</v>
      </c>
      <c r="J9" s="12" t="s">
        <v>350</v>
      </c>
      <c r="K9" s="42" t="s">
        <v>351</v>
      </c>
    </row>
    <row r="10">
      <c r="A10" s="40" t="s">
        <v>359</v>
      </c>
      <c r="B10" s="40" t="s">
        <v>183</v>
      </c>
      <c r="C10" s="40" t="s">
        <v>184</v>
      </c>
      <c r="D10" s="41">
        <v>16.0</v>
      </c>
      <c r="E10" s="42">
        <v>20.0</v>
      </c>
      <c r="F10" s="42">
        <v>2.0</v>
      </c>
      <c r="G10" s="42">
        <v>22.0</v>
      </c>
      <c r="H10" s="42">
        <v>0.818181818181818</v>
      </c>
      <c r="I10" s="43" t="b">
        <v>0</v>
      </c>
      <c r="J10" s="12" t="s">
        <v>350</v>
      </c>
      <c r="K10" s="42" t="s">
        <v>351</v>
      </c>
    </row>
    <row r="11">
      <c r="A11" s="40" t="s">
        <v>360</v>
      </c>
      <c r="B11" s="40" t="s">
        <v>305</v>
      </c>
      <c r="C11" s="40" t="s">
        <v>306</v>
      </c>
      <c r="D11" s="41">
        <v>16.0</v>
      </c>
      <c r="E11" s="42">
        <v>2.0</v>
      </c>
      <c r="F11" s="42">
        <v>20.0</v>
      </c>
      <c r="G11" s="42">
        <v>22.0</v>
      </c>
      <c r="H11" s="42">
        <v>0.818181818181818</v>
      </c>
      <c r="I11" s="43" t="b">
        <v>1</v>
      </c>
      <c r="J11" s="12" t="s">
        <v>350</v>
      </c>
      <c r="K11" s="42" t="s">
        <v>351</v>
      </c>
    </row>
    <row r="12">
      <c r="A12" s="40" t="s">
        <v>361</v>
      </c>
      <c r="B12" s="40" t="s">
        <v>273</v>
      </c>
      <c r="C12" s="40" t="s">
        <v>274</v>
      </c>
      <c r="D12" s="41">
        <v>16.0</v>
      </c>
      <c r="E12" s="42">
        <v>8.0</v>
      </c>
      <c r="F12" s="42">
        <v>1.0</v>
      </c>
      <c r="G12" s="42">
        <v>9.0</v>
      </c>
      <c r="H12" s="42">
        <v>0.777777777777777</v>
      </c>
      <c r="I12" s="43" t="b">
        <v>0</v>
      </c>
      <c r="J12" s="12" t="s">
        <v>362</v>
      </c>
      <c r="K12" s="42" t="s">
        <v>351</v>
      </c>
    </row>
    <row r="13">
      <c r="A13" s="40" t="s">
        <v>363</v>
      </c>
      <c r="B13" s="40" t="s">
        <v>149</v>
      </c>
      <c r="C13" s="40" t="s">
        <v>150</v>
      </c>
      <c r="D13" s="41">
        <v>16.0</v>
      </c>
      <c r="E13" s="42">
        <v>5.0</v>
      </c>
      <c r="F13" s="42">
        <v>40.0</v>
      </c>
      <c r="G13" s="42">
        <v>45.0</v>
      </c>
      <c r="H13" s="42">
        <v>0.777777777777777</v>
      </c>
      <c r="I13" s="43" t="b">
        <v>1</v>
      </c>
      <c r="J13" s="12" t="s">
        <v>362</v>
      </c>
      <c r="K13" s="42" t="s">
        <v>351</v>
      </c>
    </row>
    <row r="14">
      <c r="A14" s="40" t="s">
        <v>364</v>
      </c>
      <c r="B14" s="40" t="s">
        <v>145</v>
      </c>
      <c r="C14" s="40" t="s">
        <v>146</v>
      </c>
      <c r="D14" s="41">
        <v>16.0</v>
      </c>
      <c r="E14" s="42">
        <v>7.0</v>
      </c>
      <c r="F14" s="42">
        <v>1.0</v>
      </c>
      <c r="G14" s="42">
        <v>8.0</v>
      </c>
      <c r="H14" s="42">
        <v>0.75</v>
      </c>
      <c r="I14" s="43" t="b">
        <v>0</v>
      </c>
      <c r="J14" s="12" t="s">
        <v>362</v>
      </c>
      <c r="K14" s="42" t="s">
        <v>351</v>
      </c>
    </row>
    <row r="15">
      <c r="A15" s="40" t="s">
        <v>365</v>
      </c>
      <c r="B15" s="40" t="s">
        <v>214</v>
      </c>
      <c r="C15" s="40" t="s">
        <v>215</v>
      </c>
      <c r="D15" s="41">
        <v>16.0</v>
      </c>
      <c r="E15" s="42">
        <v>13.0</v>
      </c>
      <c r="F15" s="42">
        <v>2.0</v>
      </c>
      <c r="G15" s="42">
        <v>15.0</v>
      </c>
      <c r="H15" s="42">
        <v>0.733333333333333</v>
      </c>
      <c r="I15" s="43" t="b">
        <v>0</v>
      </c>
      <c r="J15" s="12" t="s">
        <v>362</v>
      </c>
      <c r="K15" s="42" t="s">
        <v>351</v>
      </c>
    </row>
    <row r="16">
      <c r="A16" s="40" t="s">
        <v>366</v>
      </c>
      <c r="B16" s="40" t="s">
        <v>261</v>
      </c>
      <c r="C16" s="40" t="s">
        <v>262</v>
      </c>
      <c r="D16" s="41">
        <v>16.0</v>
      </c>
      <c r="E16" s="42">
        <v>18.0</v>
      </c>
      <c r="F16" s="42">
        <v>3.0</v>
      </c>
      <c r="G16" s="42">
        <v>21.0</v>
      </c>
      <c r="H16" s="42">
        <v>0.714285714285714</v>
      </c>
      <c r="I16" s="43" t="b">
        <v>0</v>
      </c>
      <c r="J16" s="12" t="s">
        <v>362</v>
      </c>
      <c r="K16" s="42" t="s">
        <v>351</v>
      </c>
    </row>
    <row r="17">
      <c r="A17" s="40" t="s">
        <v>367</v>
      </c>
      <c r="B17" s="40" t="s">
        <v>161</v>
      </c>
      <c r="C17" s="40" t="s">
        <v>162</v>
      </c>
      <c r="D17" s="41">
        <v>16.0</v>
      </c>
      <c r="E17" s="42">
        <v>2.0</v>
      </c>
      <c r="F17" s="42">
        <v>12.0</v>
      </c>
      <c r="G17" s="42">
        <v>14.0</v>
      </c>
      <c r="H17" s="42">
        <v>0.714285714285714</v>
      </c>
      <c r="I17" s="43" t="b">
        <v>1</v>
      </c>
      <c r="J17" s="12" t="s">
        <v>362</v>
      </c>
      <c r="K17" s="42" t="s">
        <v>351</v>
      </c>
    </row>
    <row r="18">
      <c r="A18" s="40" t="s">
        <v>368</v>
      </c>
      <c r="B18" s="40" t="s">
        <v>169</v>
      </c>
      <c r="C18" s="40" t="s">
        <v>170</v>
      </c>
      <c r="D18" s="41">
        <v>16.0</v>
      </c>
      <c r="E18" s="42">
        <v>2.0</v>
      </c>
      <c r="F18" s="42">
        <v>12.0</v>
      </c>
      <c r="G18" s="42">
        <v>14.0</v>
      </c>
      <c r="H18" s="42">
        <v>0.714285714285714</v>
      </c>
      <c r="I18" s="43" t="b">
        <v>1</v>
      </c>
      <c r="J18" s="12" t="s">
        <v>362</v>
      </c>
      <c r="K18" s="42" t="s">
        <v>351</v>
      </c>
    </row>
    <row r="19">
      <c r="A19" s="40" t="s">
        <v>369</v>
      </c>
      <c r="B19" s="40" t="s">
        <v>236</v>
      </c>
      <c r="C19" s="40" t="s">
        <v>237</v>
      </c>
      <c r="D19" s="41">
        <v>16.0</v>
      </c>
      <c r="E19" s="42">
        <v>2.0</v>
      </c>
      <c r="F19" s="42">
        <v>11.0</v>
      </c>
      <c r="G19" s="42">
        <v>13.0</v>
      </c>
      <c r="H19" s="42">
        <v>0.692307692307692</v>
      </c>
      <c r="I19" s="43" t="b">
        <v>1</v>
      </c>
      <c r="J19" s="12" t="s">
        <v>362</v>
      </c>
      <c r="K19" s="42" t="s">
        <v>351</v>
      </c>
    </row>
    <row r="20">
      <c r="A20" s="40" t="s">
        <v>370</v>
      </c>
      <c r="B20" s="40" t="s">
        <v>129</v>
      </c>
      <c r="C20" s="40" t="s">
        <v>130</v>
      </c>
      <c r="D20" s="41">
        <v>16.0</v>
      </c>
      <c r="E20" s="42">
        <v>16.0</v>
      </c>
      <c r="F20" s="42">
        <v>3.0</v>
      </c>
      <c r="G20" s="42">
        <v>19.0</v>
      </c>
      <c r="H20" s="42">
        <v>0.684210526315789</v>
      </c>
      <c r="I20" s="43" t="b">
        <v>0</v>
      </c>
      <c r="J20" s="12" t="s">
        <v>362</v>
      </c>
      <c r="K20" s="42" t="s">
        <v>351</v>
      </c>
    </row>
    <row r="21">
      <c r="A21" s="40" t="s">
        <v>371</v>
      </c>
      <c r="B21" s="40" t="s">
        <v>133</v>
      </c>
      <c r="C21" s="40" t="s">
        <v>134</v>
      </c>
      <c r="D21" s="41">
        <v>16.0</v>
      </c>
      <c r="E21" s="42">
        <v>2.0</v>
      </c>
      <c r="F21" s="42">
        <v>10.0</v>
      </c>
      <c r="G21" s="42">
        <v>12.0</v>
      </c>
      <c r="H21" s="42">
        <v>0.666666666666666</v>
      </c>
      <c r="I21" s="43" t="b">
        <v>1</v>
      </c>
      <c r="J21" s="12" t="s">
        <v>362</v>
      </c>
      <c r="K21" s="42" t="s">
        <v>351</v>
      </c>
    </row>
    <row r="22">
      <c r="A22" s="40" t="s">
        <v>372</v>
      </c>
      <c r="B22" s="40" t="s">
        <v>283</v>
      </c>
      <c r="C22" s="40" t="s">
        <v>284</v>
      </c>
      <c r="D22" s="41">
        <v>16.0</v>
      </c>
      <c r="E22" s="42">
        <v>12.0</v>
      </c>
      <c r="F22" s="42">
        <v>3.0</v>
      </c>
      <c r="G22" s="42">
        <v>15.0</v>
      </c>
      <c r="H22" s="42">
        <v>0.6</v>
      </c>
      <c r="I22" s="43" t="b">
        <v>0</v>
      </c>
      <c r="J22" s="12" t="s">
        <v>373</v>
      </c>
      <c r="K22" s="42" t="s">
        <v>351</v>
      </c>
    </row>
    <row r="23">
      <c r="A23" s="40" t="s">
        <v>374</v>
      </c>
      <c r="B23" s="40" t="s">
        <v>245</v>
      </c>
      <c r="C23" s="40" t="s">
        <v>246</v>
      </c>
      <c r="D23" s="41">
        <v>16.0</v>
      </c>
      <c r="E23" s="42">
        <v>2.0</v>
      </c>
      <c r="F23" s="42">
        <v>8.0</v>
      </c>
      <c r="G23" s="42">
        <v>10.0</v>
      </c>
      <c r="H23" s="42">
        <v>0.6</v>
      </c>
      <c r="I23" s="43" t="b">
        <v>1</v>
      </c>
      <c r="J23" s="12" t="s">
        <v>373</v>
      </c>
      <c r="K23" s="42" t="s">
        <v>351</v>
      </c>
    </row>
    <row r="24">
      <c r="A24" s="40" t="s">
        <v>375</v>
      </c>
      <c r="B24" s="40" t="s">
        <v>281</v>
      </c>
      <c r="C24" s="40" t="s">
        <v>282</v>
      </c>
      <c r="D24" s="41">
        <v>16.0</v>
      </c>
      <c r="E24" s="42">
        <v>2.0</v>
      </c>
      <c r="F24" s="42">
        <v>8.0</v>
      </c>
      <c r="G24" s="42">
        <v>10.0</v>
      </c>
      <c r="H24" s="42">
        <v>0.6</v>
      </c>
      <c r="I24" s="43" t="b">
        <v>1</v>
      </c>
      <c r="J24" s="12" t="s">
        <v>373</v>
      </c>
      <c r="K24" s="42" t="s">
        <v>351</v>
      </c>
    </row>
    <row r="25">
      <c r="A25" s="40" t="s">
        <v>376</v>
      </c>
      <c r="B25" s="40" t="s">
        <v>116</v>
      </c>
      <c r="C25" s="40" t="s">
        <v>117</v>
      </c>
      <c r="D25" s="41">
        <v>16.0</v>
      </c>
      <c r="E25" s="42">
        <v>2.0</v>
      </c>
      <c r="F25" s="42">
        <v>8.0</v>
      </c>
      <c r="G25" s="42">
        <v>10.0</v>
      </c>
      <c r="H25" s="42">
        <v>0.6</v>
      </c>
      <c r="I25" s="43" t="b">
        <v>1</v>
      </c>
      <c r="J25" s="12" t="s">
        <v>373</v>
      </c>
      <c r="K25" s="42" t="s">
        <v>351</v>
      </c>
    </row>
    <row r="26">
      <c r="A26" s="40" t="s">
        <v>377</v>
      </c>
      <c r="B26" s="40" t="s">
        <v>189</v>
      </c>
      <c r="C26" s="40" t="s">
        <v>190</v>
      </c>
      <c r="D26" s="41">
        <v>16.0</v>
      </c>
      <c r="E26" s="42">
        <v>11.0</v>
      </c>
      <c r="F26" s="42">
        <v>3.0</v>
      </c>
      <c r="G26" s="42">
        <v>14.0</v>
      </c>
      <c r="H26" s="42">
        <v>0.571428571428571</v>
      </c>
      <c r="I26" s="43" t="b">
        <v>0</v>
      </c>
      <c r="J26" s="12" t="s">
        <v>373</v>
      </c>
      <c r="K26" s="42" t="s">
        <v>351</v>
      </c>
    </row>
    <row r="27">
      <c r="A27" s="40" t="s">
        <v>378</v>
      </c>
      <c r="B27" s="40" t="s">
        <v>259</v>
      </c>
      <c r="C27" s="40" t="s">
        <v>260</v>
      </c>
      <c r="D27" s="41">
        <v>16.0</v>
      </c>
      <c r="E27" s="42">
        <v>7.0</v>
      </c>
      <c r="F27" s="42">
        <v>2.0</v>
      </c>
      <c r="G27" s="42">
        <v>9.0</v>
      </c>
      <c r="H27" s="42">
        <v>0.555555555555555</v>
      </c>
      <c r="I27" s="43" t="b">
        <v>0</v>
      </c>
      <c r="J27" s="12" t="s">
        <v>373</v>
      </c>
      <c r="K27" s="42" t="s">
        <v>351</v>
      </c>
    </row>
    <row r="28">
      <c r="A28" s="40" t="s">
        <v>379</v>
      </c>
      <c r="B28" s="40" t="s">
        <v>247</v>
      </c>
      <c r="C28" s="40" t="s">
        <v>248</v>
      </c>
      <c r="D28" s="41">
        <v>16.0</v>
      </c>
      <c r="E28" s="42">
        <v>3.0</v>
      </c>
      <c r="F28" s="42">
        <v>10.0</v>
      </c>
      <c r="G28" s="42">
        <v>13.0</v>
      </c>
      <c r="H28" s="42">
        <v>0.538461538461538</v>
      </c>
      <c r="I28" s="43" t="b">
        <v>1</v>
      </c>
      <c r="J28" s="12" t="s">
        <v>373</v>
      </c>
      <c r="K28" s="42" t="s">
        <v>351</v>
      </c>
    </row>
    <row r="29">
      <c r="A29" s="40" t="s">
        <v>380</v>
      </c>
      <c r="B29" s="40" t="s">
        <v>269</v>
      </c>
      <c r="C29" s="40" t="s">
        <v>270</v>
      </c>
      <c r="D29" s="41">
        <v>16.0</v>
      </c>
      <c r="E29" s="42">
        <v>6.0</v>
      </c>
      <c r="F29" s="42">
        <v>2.0</v>
      </c>
      <c r="G29" s="42">
        <v>8.0</v>
      </c>
      <c r="H29" s="42">
        <v>0.5</v>
      </c>
      <c r="I29" s="43" t="b">
        <v>0</v>
      </c>
      <c r="J29" s="12" t="s">
        <v>373</v>
      </c>
      <c r="K29" s="42" t="s">
        <v>351</v>
      </c>
    </row>
    <row r="30">
      <c r="A30" s="40" t="s">
        <v>381</v>
      </c>
      <c r="B30" s="40" t="s">
        <v>303</v>
      </c>
      <c r="C30" s="40" t="s">
        <v>304</v>
      </c>
      <c r="D30" s="41">
        <v>16.0</v>
      </c>
      <c r="E30" s="42">
        <v>6.0</v>
      </c>
      <c r="F30" s="42">
        <v>2.0</v>
      </c>
      <c r="G30" s="42">
        <v>8.0</v>
      </c>
      <c r="H30" s="42">
        <v>0.5</v>
      </c>
      <c r="I30" s="43" t="b">
        <v>0</v>
      </c>
      <c r="J30" s="12" t="s">
        <v>373</v>
      </c>
      <c r="K30" s="42" t="s">
        <v>351</v>
      </c>
    </row>
    <row r="31">
      <c r="A31" s="40" t="s">
        <v>382</v>
      </c>
      <c r="B31" s="40" t="s">
        <v>226</v>
      </c>
      <c r="C31" s="40" t="s">
        <v>227</v>
      </c>
      <c r="D31" s="41">
        <v>16.0</v>
      </c>
      <c r="E31" s="42">
        <v>3.0</v>
      </c>
      <c r="F31" s="42">
        <v>8.0</v>
      </c>
      <c r="G31" s="42">
        <v>11.0</v>
      </c>
      <c r="H31" s="42">
        <v>0.454545454545454</v>
      </c>
      <c r="I31" s="43" t="b">
        <v>1</v>
      </c>
      <c r="J31" s="12" t="s">
        <v>373</v>
      </c>
      <c r="K31" s="42" t="s">
        <v>351</v>
      </c>
    </row>
    <row r="32">
      <c r="A32" s="40" t="s">
        <v>383</v>
      </c>
      <c r="B32" s="40" t="s">
        <v>120</v>
      </c>
      <c r="C32" s="40" t="s">
        <v>121</v>
      </c>
      <c r="D32" s="41">
        <v>16.0</v>
      </c>
      <c r="E32" s="42">
        <v>3.0</v>
      </c>
      <c r="F32" s="42">
        <v>7.0</v>
      </c>
      <c r="G32" s="42">
        <v>10.0</v>
      </c>
      <c r="H32" s="42">
        <v>0.4</v>
      </c>
      <c r="I32" s="43" t="b">
        <v>1</v>
      </c>
      <c r="J32" s="12" t="s">
        <v>384</v>
      </c>
      <c r="K32" s="42" t="s">
        <v>351</v>
      </c>
    </row>
    <row r="33">
      <c r="A33" s="40" t="s">
        <v>385</v>
      </c>
      <c r="B33" s="40" t="s">
        <v>296</v>
      </c>
      <c r="C33" s="40" t="s">
        <v>297</v>
      </c>
      <c r="D33" s="41">
        <v>16.0</v>
      </c>
      <c r="E33" s="42">
        <v>3.0</v>
      </c>
      <c r="F33" s="42">
        <v>7.0</v>
      </c>
      <c r="G33" s="42">
        <v>10.0</v>
      </c>
      <c r="H33" s="42">
        <v>0.4</v>
      </c>
      <c r="I33" s="43" t="b">
        <v>1</v>
      </c>
      <c r="J33" s="12" t="s">
        <v>384</v>
      </c>
      <c r="K33" s="42" t="s">
        <v>351</v>
      </c>
    </row>
    <row r="34">
      <c r="A34" s="40" t="s">
        <v>386</v>
      </c>
      <c r="B34" s="40" t="s">
        <v>135</v>
      </c>
      <c r="C34" s="40" t="s">
        <v>136</v>
      </c>
      <c r="D34" s="41">
        <v>16.0</v>
      </c>
      <c r="E34" s="42">
        <v>6.0</v>
      </c>
      <c r="F34" s="42">
        <v>3.0</v>
      </c>
      <c r="G34" s="42">
        <v>9.0</v>
      </c>
      <c r="H34" s="42">
        <v>0.333333333333333</v>
      </c>
      <c r="I34" s="43" t="b">
        <v>0</v>
      </c>
      <c r="J34" s="12" t="s">
        <v>384</v>
      </c>
      <c r="K34" s="42" t="s">
        <v>351</v>
      </c>
    </row>
    <row r="35">
      <c r="A35" s="40" t="s">
        <v>387</v>
      </c>
      <c r="B35" s="40" t="s">
        <v>193</v>
      </c>
      <c r="C35" s="40" t="s">
        <v>194</v>
      </c>
      <c r="D35" s="41">
        <v>16.0</v>
      </c>
      <c r="E35" s="42">
        <v>3.0</v>
      </c>
      <c r="F35" s="42">
        <v>6.0</v>
      </c>
      <c r="G35" s="42">
        <v>9.0</v>
      </c>
      <c r="H35" s="42">
        <v>0.333333333333333</v>
      </c>
      <c r="I35" s="43" t="b">
        <v>1</v>
      </c>
      <c r="J35" s="12" t="s">
        <v>384</v>
      </c>
      <c r="K35" s="42" t="s">
        <v>351</v>
      </c>
    </row>
    <row r="36">
      <c r="A36" s="40" t="s">
        <v>388</v>
      </c>
      <c r="B36" s="40" t="s">
        <v>131</v>
      </c>
      <c r="C36" s="40" t="s">
        <v>132</v>
      </c>
      <c r="D36" s="41">
        <v>16.0</v>
      </c>
      <c r="E36" s="42">
        <v>6.0</v>
      </c>
      <c r="F36" s="42">
        <v>3.0</v>
      </c>
      <c r="G36" s="42">
        <v>9.0</v>
      </c>
      <c r="H36" s="42">
        <v>0.333333333333333</v>
      </c>
      <c r="I36" s="43" t="b">
        <v>0</v>
      </c>
      <c r="J36" s="12" t="s">
        <v>384</v>
      </c>
      <c r="K36" s="42" t="s">
        <v>351</v>
      </c>
    </row>
    <row r="37">
      <c r="A37" s="40" t="s">
        <v>389</v>
      </c>
      <c r="B37" s="40" t="s">
        <v>114</v>
      </c>
      <c r="C37" s="40" t="s">
        <v>115</v>
      </c>
      <c r="D37" s="41">
        <v>16.0</v>
      </c>
      <c r="E37" s="42">
        <v>4.0</v>
      </c>
      <c r="F37" s="42">
        <v>7.0</v>
      </c>
      <c r="G37" s="42">
        <v>11.0</v>
      </c>
      <c r="H37" s="42">
        <v>0.272727272727272</v>
      </c>
      <c r="I37" s="43" t="b">
        <v>1</v>
      </c>
      <c r="J37" s="12" t="s">
        <v>384</v>
      </c>
      <c r="K37" s="42" t="s">
        <v>351</v>
      </c>
    </row>
    <row r="38">
      <c r="A38" s="40" t="s">
        <v>390</v>
      </c>
      <c r="B38" s="40" t="s">
        <v>207</v>
      </c>
      <c r="C38" s="40" t="s">
        <v>208</v>
      </c>
      <c r="D38" s="41">
        <v>16.0</v>
      </c>
      <c r="E38" s="42">
        <v>4.0</v>
      </c>
      <c r="F38" s="42">
        <v>7.0</v>
      </c>
      <c r="G38" s="42">
        <v>11.0</v>
      </c>
      <c r="H38" s="42">
        <v>0.272727272727272</v>
      </c>
      <c r="I38" s="43" t="b">
        <v>1</v>
      </c>
      <c r="J38" s="12" t="s">
        <v>384</v>
      </c>
      <c r="K38" s="42" t="s">
        <v>351</v>
      </c>
    </row>
    <row r="39">
      <c r="A39" s="40" t="s">
        <v>391</v>
      </c>
      <c r="B39" s="40" t="s">
        <v>99</v>
      </c>
      <c r="C39" s="40" t="s">
        <v>100</v>
      </c>
      <c r="D39" s="41">
        <v>16.0</v>
      </c>
      <c r="E39" s="42">
        <v>5.0</v>
      </c>
      <c r="F39" s="42">
        <v>3.0</v>
      </c>
      <c r="G39" s="42">
        <v>8.0</v>
      </c>
      <c r="H39" s="42">
        <v>0.25</v>
      </c>
      <c r="I39" s="43" t="b">
        <v>0</v>
      </c>
      <c r="J39" s="12" t="s">
        <v>384</v>
      </c>
      <c r="K39" s="42" t="s">
        <v>351</v>
      </c>
    </row>
    <row r="40">
      <c r="A40" s="40" t="s">
        <v>392</v>
      </c>
      <c r="B40" s="40" t="s">
        <v>163</v>
      </c>
      <c r="C40" s="40" t="s">
        <v>164</v>
      </c>
      <c r="D40" s="41">
        <v>16.0</v>
      </c>
      <c r="E40" s="42">
        <v>5.0</v>
      </c>
      <c r="F40" s="42">
        <v>3.0</v>
      </c>
      <c r="G40" s="42">
        <v>8.0</v>
      </c>
      <c r="H40" s="42">
        <v>0.25</v>
      </c>
      <c r="I40" s="43" t="b">
        <v>0</v>
      </c>
      <c r="J40" s="12" t="s">
        <v>384</v>
      </c>
      <c r="K40" s="42" t="s">
        <v>351</v>
      </c>
    </row>
    <row r="41">
      <c r="A41" s="40" t="s">
        <v>393</v>
      </c>
      <c r="B41" s="40" t="s">
        <v>231</v>
      </c>
      <c r="C41" s="40" t="s">
        <v>232</v>
      </c>
      <c r="D41" s="41">
        <v>16.0</v>
      </c>
      <c r="E41" s="42">
        <v>8.0</v>
      </c>
      <c r="F41" s="42">
        <v>5.0</v>
      </c>
      <c r="G41" s="42">
        <v>13.0</v>
      </c>
      <c r="H41" s="42">
        <v>0.23076923076923</v>
      </c>
      <c r="I41" s="43" t="b">
        <v>0</v>
      </c>
      <c r="J41" s="12" t="s">
        <v>384</v>
      </c>
      <c r="K41" s="42" t="s">
        <v>351</v>
      </c>
    </row>
    <row r="42">
      <c r="A42" s="40" t="s">
        <v>394</v>
      </c>
      <c r="B42" s="40" t="s">
        <v>205</v>
      </c>
      <c r="C42" s="40" t="s">
        <v>206</v>
      </c>
      <c r="D42" s="41">
        <v>16.0</v>
      </c>
      <c r="E42" s="42">
        <v>4.0</v>
      </c>
      <c r="F42" s="42">
        <v>6.0</v>
      </c>
      <c r="G42" s="42">
        <v>10.0</v>
      </c>
      <c r="H42" s="42">
        <v>0.2</v>
      </c>
      <c r="I42" s="43" t="b">
        <v>1</v>
      </c>
      <c r="J42" s="12" t="s">
        <v>395</v>
      </c>
      <c r="K42" s="42" t="s">
        <v>351</v>
      </c>
    </row>
    <row r="43">
      <c r="A43" s="40" t="s">
        <v>396</v>
      </c>
      <c r="B43" s="40" t="s">
        <v>157</v>
      </c>
      <c r="C43" s="40" t="s">
        <v>158</v>
      </c>
      <c r="D43" s="41">
        <v>16.0</v>
      </c>
      <c r="E43" s="42">
        <v>4.0</v>
      </c>
      <c r="F43" s="42">
        <v>6.0</v>
      </c>
      <c r="G43" s="42">
        <v>10.0</v>
      </c>
      <c r="H43" s="42">
        <v>0.2</v>
      </c>
      <c r="I43" s="43" t="b">
        <v>1</v>
      </c>
      <c r="J43" s="12" t="s">
        <v>395</v>
      </c>
      <c r="K43" s="42" t="s">
        <v>351</v>
      </c>
    </row>
    <row r="44">
      <c r="A44" s="40" t="s">
        <v>397</v>
      </c>
      <c r="B44" s="40" t="s">
        <v>299</v>
      </c>
      <c r="C44" s="40" t="s">
        <v>300</v>
      </c>
      <c r="D44" s="41">
        <v>16.0</v>
      </c>
      <c r="E44" s="42">
        <v>6.0</v>
      </c>
      <c r="F44" s="42">
        <v>4.0</v>
      </c>
      <c r="G44" s="42">
        <v>10.0</v>
      </c>
      <c r="H44" s="42">
        <v>0.2</v>
      </c>
      <c r="I44" s="43" t="b">
        <v>0</v>
      </c>
      <c r="J44" s="12" t="s">
        <v>395</v>
      </c>
      <c r="K44" s="42" t="s">
        <v>351</v>
      </c>
    </row>
    <row r="45">
      <c r="A45" s="40" t="s">
        <v>398</v>
      </c>
      <c r="B45" s="40" t="s">
        <v>203</v>
      </c>
      <c r="C45" s="40" t="s">
        <v>204</v>
      </c>
      <c r="D45" s="41">
        <v>16.0</v>
      </c>
      <c r="E45" s="42">
        <v>5.0</v>
      </c>
      <c r="F45" s="42">
        <v>7.0</v>
      </c>
      <c r="G45" s="42">
        <v>12.0</v>
      </c>
      <c r="H45" s="42">
        <v>0.166666666666666</v>
      </c>
      <c r="I45" s="43" t="b">
        <v>1</v>
      </c>
      <c r="J45" s="12" t="s">
        <v>395</v>
      </c>
      <c r="K45" s="42" t="s">
        <v>351</v>
      </c>
    </row>
    <row r="46">
      <c r="A46" s="40" t="s">
        <v>399</v>
      </c>
      <c r="B46" s="40" t="s">
        <v>308</v>
      </c>
      <c r="C46" s="40" t="s">
        <v>309</v>
      </c>
      <c r="D46" s="41">
        <v>16.0</v>
      </c>
      <c r="E46" s="42">
        <v>4.0</v>
      </c>
      <c r="F46" s="42">
        <v>3.0</v>
      </c>
      <c r="G46" s="42">
        <v>7.0</v>
      </c>
      <c r="H46" s="42">
        <v>0.142857142857142</v>
      </c>
      <c r="I46" s="43" t="b">
        <v>0</v>
      </c>
      <c r="J46" s="12" t="s">
        <v>395</v>
      </c>
      <c r="K46" s="42" t="s">
        <v>351</v>
      </c>
    </row>
    <row r="47">
      <c r="A47" s="40" t="s">
        <v>400</v>
      </c>
      <c r="B47" s="40" t="s">
        <v>294</v>
      </c>
      <c r="C47" s="40" t="s">
        <v>295</v>
      </c>
      <c r="D47" s="41">
        <v>16.0</v>
      </c>
      <c r="E47" s="42">
        <v>4.0</v>
      </c>
      <c r="F47" s="42">
        <v>3.0</v>
      </c>
      <c r="G47" s="42">
        <v>7.0</v>
      </c>
      <c r="H47" s="42">
        <v>0.142857142857142</v>
      </c>
      <c r="I47" s="43" t="b">
        <v>0</v>
      </c>
      <c r="J47" s="12" t="s">
        <v>395</v>
      </c>
      <c r="K47" s="42" t="s">
        <v>351</v>
      </c>
    </row>
    <row r="48">
      <c r="A48" s="40" t="s">
        <v>401</v>
      </c>
      <c r="B48" s="40" t="s">
        <v>155</v>
      </c>
      <c r="C48" s="40" t="s">
        <v>156</v>
      </c>
      <c r="D48" s="41">
        <v>16.0</v>
      </c>
      <c r="E48" s="42">
        <v>5.0</v>
      </c>
      <c r="F48" s="42">
        <v>4.0</v>
      </c>
      <c r="G48" s="42">
        <v>9.0</v>
      </c>
      <c r="H48" s="42">
        <v>0.111111111111111</v>
      </c>
      <c r="I48" s="43" t="b">
        <v>0</v>
      </c>
      <c r="J48" s="12" t="s">
        <v>395</v>
      </c>
      <c r="K48" s="42" t="s">
        <v>351</v>
      </c>
    </row>
    <row r="49">
      <c r="A49" s="40" t="s">
        <v>402</v>
      </c>
      <c r="B49" s="40" t="s">
        <v>103</v>
      </c>
      <c r="C49" s="40" t="s">
        <v>104</v>
      </c>
      <c r="D49" s="41">
        <v>16.0</v>
      </c>
      <c r="E49" s="42">
        <v>5.0</v>
      </c>
      <c r="F49" s="42">
        <v>4.0</v>
      </c>
      <c r="G49" s="42">
        <v>9.0</v>
      </c>
      <c r="H49" s="42">
        <v>0.111111111111111</v>
      </c>
      <c r="I49" s="43" t="b">
        <v>0</v>
      </c>
      <c r="J49" s="12" t="s">
        <v>395</v>
      </c>
      <c r="K49" s="42" t="s">
        <v>351</v>
      </c>
    </row>
    <row r="50">
      <c r="A50" s="40" t="s">
        <v>403</v>
      </c>
      <c r="B50" s="40" t="s">
        <v>201</v>
      </c>
      <c r="C50" s="40" t="s">
        <v>202</v>
      </c>
      <c r="D50" s="41">
        <v>16.0</v>
      </c>
      <c r="E50" s="42">
        <v>4.0</v>
      </c>
      <c r="F50" s="42">
        <v>5.0</v>
      </c>
      <c r="G50" s="42">
        <v>9.0</v>
      </c>
      <c r="H50" s="42">
        <v>0.111111111111111</v>
      </c>
      <c r="I50" s="43" t="b">
        <v>1</v>
      </c>
      <c r="J50" s="12" t="s">
        <v>395</v>
      </c>
      <c r="K50" s="42" t="s">
        <v>351</v>
      </c>
    </row>
    <row r="51">
      <c r="A51" s="40" t="s">
        <v>404</v>
      </c>
      <c r="B51" s="40" t="s">
        <v>238</v>
      </c>
      <c r="C51" s="40" t="s">
        <v>239</v>
      </c>
      <c r="D51" s="41">
        <v>16.0</v>
      </c>
      <c r="E51" s="42">
        <v>4.0</v>
      </c>
      <c r="F51" s="42">
        <v>5.0</v>
      </c>
      <c r="G51" s="42">
        <v>9.0</v>
      </c>
      <c r="H51" s="42">
        <v>0.111111111111111</v>
      </c>
      <c r="I51" s="43" t="b">
        <v>1</v>
      </c>
      <c r="J51" s="12" t="s">
        <v>395</v>
      </c>
      <c r="K51" s="42" t="s">
        <v>351</v>
      </c>
    </row>
    <row r="52">
      <c r="A52" s="40" t="s">
        <v>405</v>
      </c>
      <c r="B52" s="40" t="s">
        <v>212</v>
      </c>
      <c r="C52" s="40" t="s">
        <v>213</v>
      </c>
      <c r="D52" s="41">
        <v>16.0</v>
      </c>
      <c r="E52" s="42">
        <v>6.0</v>
      </c>
      <c r="F52" s="42">
        <v>0.0</v>
      </c>
      <c r="G52" s="42">
        <v>6.0</v>
      </c>
      <c r="H52" s="42">
        <v>1.0</v>
      </c>
      <c r="I52" s="43" t="b">
        <v>0</v>
      </c>
      <c r="J52" s="12" t="s">
        <v>350</v>
      </c>
      <c r="K52" s="42" t="s">
        <v>33</v>
      </c>
    </row>
    <row r="53">
      <c r="A53" s="40" t="s">
        <v>406</v>
      </c>
      <c r="B53" s="40" t="s">
        <v>137</v>
      </c>
      <c r="C53" s="40" t="s">
        <v>138</v>
      </c>
      <c r="D53" s="41">
        <v>16.0</v>
      </c>
      <c r="E53" s="42">
        <v>0.0</v>
      </c>
      <c r="F53" s="42">
        <v>5.0</v>
      </c>
      <c r="G53" s="42">
        <v>5.0</v>
      </c>
      <c r="H53" s="42">
        <v>1.0</v>
      </c>
      <c r="I53" s="43" t="b">
        <v>1</v>
      </c>
      <c r="J53" s="12" t="s">
        <v>350</v>
      </c>
      <c r="K53" s="42" t="s">
        <v>33</v>
      </c>
    </row>
    <row r="54">
      <c r="A54" s="40" t="s">
        <v>407</v>
      </c>
      <c r="B54" s="40" t="s">
        <v>255</v>
      </c>
      <c r="C54" s="40" t="s">
        <v>256</v>
      </c>
      <c r="D54" s="41">
        <v>16.0</v>
      </c>
      <c r="E54" s="42">
        <v>2.0</v>
      </c>
      <c r="F54" s="42">
        <v>4.0</v>
      </c>
      <c r="G54" s="42">
        <v>6.0</v>
      </c>
      <c r="H54" s="42">
        <v>0.333333333333333</v>
      </c>
      <c r="I54" s="43" t="b">
        <v>1</v>
      </c>
      <c r="J54" s="12" t="s">
        <v>384</v>
      </c>
      <c r="K54" s="42" t="s">
        <v>33</v>
      </c>
    </row>
    <row r="55">
      <c r="A55" s="40" t="s">
        <v>408</v>
      </c>
      <c r="B55" s="40" t="s">
        <v>243</v>
      </c>
      <c r="C55" s="40" t="s">
        <v>244</v>
      </c>
      <c r="D55" s="41">
        <v>16.0</v>
      </c>
      <c r="E55" s="42">
        <v>4.0</v>
      </c>
      <c r="F55" s="42">
        <v>2.0</v>
      </c>
      <c r="G55" s="42">
        <v>6.0</v>
      </c>
      <c r="H55" s="42">
        <v>0.333333333333333</v>
      </c>
      <c r="I55" s="43" t="b">
        <v>0</v>
      </c>
      <c r="J55" s="12" t="s">
        <v>384</v>
      </c>
      <c r="K55" s="42" t="s">
        <v>33</v>
      </c>
    </row>
    <row r="56">
      <c r="A56" s="40" t="s">
        <v>409</v>
      </c>
      <c r="B56" s="40" t="s">
        <v>185</v>
      </c>
      <c r="C56" s="40" t="s">
        <v>186</v>
      </c>
      <c r="D56" s="41">
        <v>16.0</v>
      </c>
      <c r="E56" s="42">
        <v>2.0</v>
      </c>
      <c r="F56" s="42">
        <v>3.0</v>
      </c>
      <c r="G56" s="42">
        <v>5.0</v>
      </c>
      <c r="H56" s="42">
        <v>0.2</v>
      </c>
      <c r="I56" s="43" t="b">
        <v>1</v>
      </c>
      <c r="J56" s="12" t="s">
        <v>395</v>
      </c>
      <c r="K56" s="42" t="s">
        <v>33</v>
      </c>
    </row>
    <row r="57">
      <c r="A57" s="40" t="s">
        <v>410</v>
      </c>
      <c r="B57" s="40" t="s">
        <v>220</v>
      </c>
      <c r="C57" s="40" t="s">
        <v>221</v>
      </c>
      <c r="D57" s="41">
        <v>16.0</v>
      </c>
      <c r="E57" s="42">
        <v>4.0</v>
      </c>
      <c r="F57" s="42">
        <v>3.0</v>
      </c>
      <c r="G57" s="42">
        <v>7.0</v>
      </c>
      <c r="H57" s="42">
        <v>0.142857142857142</v>
      </c>
      <c r="I57" s="43" t="b">
        <v>0</v>
      </c>
      <c r="J57" s="12" t="s">
        <v>395</v>
      </c>
      <c r="K57" s="42" t="s">
        <v>33</v>
      </c>
    </row>
    <row r="58">
      <c r="A58" s="40" t="s">
        <v>411</v>
      </c>
      <c r="B58" s="40" t="s">
        <v>195</v>
      </c>
      <c r="C58" s="40" t="s">
        <v>196</v>
      </c>
      <c r="D58" s="41">
        <v>16.0</v>
      </c>
      <c r="E58" s="42">
        <v>1.0</v>
      </c>
      <c r="F58" s="42">
        <v>7.0</v>
      </c>
      <c r="G58" s="42">
        <v>8.0</v>
      </c>
      <c r="H58" s="42">
        <v>0.75</v>
      </c>
      <c r="I58" s="43" t="b">
        <v>1</v>
      </c>
      <c r="J58" s="12" t="s">
        <v>362</v>
      </c>
      <c r="K58" s="42" t="s">
        <v>412</v>
      </c>
    </row>
    <row r="59">
      <c r="A59" s="40" t="s">
        <v>413</v>
      </c>
      <c r="B59" s="40" t="s">
        <v>127</v>
      </c>
      <c r="C59" s="40" t="s">
        <v>128</v>
      </c>
      <c r="D59" s="41">
        <v>16.0</v>
      </c>
      <c r="E59" s="42">
        <v>5.0</v>
      </c>
      <c r="F59" s="42">
        <v>1.0</v>
      </c>
      <c r="G59" s="42">
        <v>6.0</v>
      </c>
      <c r="H59" s="42">
        <v>0.666666666666666</v>
      </c>
      <c r="I59" s="43" t="b">
        <v>0</v>
      </c>
      <c r="J59" s="12" t="s">
        <v>362</v>
      </c>
      <c r="K59" s="42" t="s">
        <v>412</v>
      </c>
    </row>
    <row r="60">
      <c r="A60" s="40" t="s">
        <v>414</v>
      </c>
      <c r="B60" s="40" t="s">
        <v>233</v>
      </c>
      <c r="C60" s="40" t="s">
        <v>234</v>
      </c>
      <c r="D60" s="41">
        <v>16.0</v>
      </c>
      <c r="E60" s="42">
        <v>4.0</v>
      </c>
      <c r="F60" s="42">
        <v>2.0</v>
      </c>
      <c r="G60" s="42">
        <v>6.0</v>
      </c>
      <c r="H60" s="42">
        <v>0.333333333333333</v>
      </c>
      <c r="I60" s="43" t="b">
        <v>0</v>
      </c>
      <c r="J60" s="12" t="s">
        <v>384</v>
      </c>
      <c r="K60" s="42" t="s">
        <v>412</v>
      </c>
    </row>
    <row r="61">
      <c r="A61" s="40" t="s">
        <v>415</v>
      </c>
      <c r="B61" s="40" t="s">
        <v>143</v>
      </c>
      <c r="C61" s="40" t="s">
        <v>144</v>
      </c>
      <c r="D61" s="41">
        <v>16.0</v>
      </c>
      <c r="E61" s="42">
        <v>2.0</v>
      </c>
      <c r="F61" s="42">
        <v>4.0</v>
      </c>
      <c r="G61" s="42">
        <v>6.0</v>
      </c>
      <c r="H61" s="42">
        <v>0.333333333333333</v>
      </c>
      <c r="I61" s="43" t="b">
        <v>1</v>
      </c>
      <c r="J61" s="12" t="s">
        <v>384</v>
      </c>
      <c r="K61" s="42" t="s">
        <v>412</v>
      </c>
    </row>
    <row r="62">
      <c r="A62" s="40" t="s">
        <v>416</v>
      </c>
      <c r="B62" s="40" t="s">
        <v>285</v>
      </c>
      <c r="C62" s="40" t="s">
        <v>286</v>
      </c>
      <c r="D62" s="41">
        <v>16.0</v>
      </c>
      <c r="E62" s="42">
        <v>6.0</v>
      </c>
      <c r="F62" s="42">
        <v>0.0</v>
      </c>
      <c r="G62" s="42">
        <v>6.0</v>
      </c>
      <c r="H62" s="42">
        <v>1.0</v>
      </c>
      <c r="I62" s="43" t="b">
        <v>0</v>
      </c>
      <c r="J62" s="12" t="s">
        <v>350</v>
      </c>
      <c r="K62" s="42" t="s">
        <v>417</v>
      </c>
    </row>
    <row r="63">
      <c r="A63" s="40" t="s">
        <v>418</v>
      </c>
      <c r="B63" s="40" t="s">
        <v>175</v>
      </c>
      <c r="C63" s="40" t="s">
        <v>176</v>
      </c>
      <c r="D63" s="41">
        <v>16.0</v>
      </c>
      <c r="E63" s="42">
        <v>0.0</v>
      </c>
      <c r="F63" s="42">
        <v>9.0</v>
      </c>
      <c r="G63" s="42">
        <v>9.0</v>
      </c>
      <c r="H63" s="42">
        <v>1.0</v>
      </c>
      <c r="I63" s="43" t="b">
        <v>1</v>
      </c>
      <c r="J63" s="12" t="s">
        <v>350</v>
      </c>
      <c r="K63" s="42" t="s">
        <v>417</v>
      </c>
    </row>
    <row r="64">
      <c r="A64" s="40" t="s">
        <v>419</v>
      </c>
      <c r="B64" s="40" t="s">
        <v>171</v>
      </c>
      <c r="C64" s="40" t="s">
        <v>172</v>
      </c>
      <c r="D64" s="41">
        <v>16.0</v>
      </c>
      <c r="E64" s="42">
        <v>3.0</v>
      </c>
      <c r="F64" s="42">
        <v>2.0</v>
      </c>
      <c r="G64" s="42">
        <v>5.0</v>
      </c>
      <c r="H64" s="42">
        <v>0.2</v>
      </c>
      <c r="I64" s="43" t="b">
        <v>0</v>
      </c>
      <c r="J64" s="12" t="s">
        <v>395</v>
      </c>
      <c r="K64" s="42" t="s">
        <v>417</v>
      </c>
    </row>
    <row r="65">
      <c r="A65" s="40" t="s">
        <v>420</v>
      </c>
      <c r="B65" s="40" t="s">
        <v>251</v>
      </c>
      <c r="C65" s="40" t="s">
        <v>252</v>
      </c>
      <c r="D65" s="41">
        <v>16.0</v>
      </c>
      <c r="E65" s="42">
        <v>2.0</v>
      </c>
      <c r="F65" s="42">
        <v>3.0</v>
      </c>
      <c r="G65" s="42">
        <v>5.0</v>
      </c>
      <c r="H65" s="42">
        <v>0.2</v>
      </c>
      <c r="I65" s="43" t="b">
        <v>1</v>
      </c>
      <c r="J65" s="12" t="s">
        <v>395</v>
      </c>
      <c r="K65" s="42" t="s">
        <v>417</v>
      </c>
    </row>
    <row r="66">
      <c r="A66" s="40" t="s">
        <v>421</v>
      </c>
      <c r="B66" s="40" t="s">
        <v>112</v>
      </c>
      <c r="C66" s="40" t="s">
        <v>113</v>
      </c>
      <c r="D66" s="41">
        <v>16.0</v>
      </c>
      <c r="E66" s="42">
        <v>0.0</v>
      </c>
      <c r="F66" s="42">
        <v>6.0</v>
      </c>
      <c r="G66" s="42">
        <v>6.0</v>
      </c>
      <c r="H66" s="42">
        <v>1.0</v>
      </c>
      <c r="I66" s="43" t="b">
        <v>1</v>
      </c>
      <c r="J66" s="12" t="s">
        <v>350</v>
      </c>
      <c r="K66" s="42" t="s">
        <v>422</v>
      </c>
    </row>
    <row r="67">
      <c r="A67" s="40" t="s">
        <v>423</v>
      </c>
      <c r="B67" s="40" t="s">
        <v>101</v>
      </c>
      <c r="C67" s="40" t="s">
        <v>102</v>
      </c>
      <c r="D67" s="41">
        <v>16.0</v>
      </c>
      <c r="E67" s="42">
        <v>5.0</v>
      </c>
      <c r="F67" s="42">
        <v>0.0</v>
      </c>
      <c r="G67" s="42">
        <v>5.0</v>
      </c>
      <c r="H67" s="42">
        <v>1.0</v>
      </c>
      <c r="I67" s="43" t="b">
        <v>0</v>
      </c>
      <c r="J67" s="12" t="s">
        <v>350</v>
      </c>
      <c r="K67" s="42" t="s">
        <v>422</v>
      </c>
    </row>
    <row r="68">
      <c r="A68" s="40" t="s">
        <v>424</v>
      </c>
      <c r="B68" s="40" t="s">
        <v>216</v>
      </c>
      <c r="C68" s="40" t="s">
        <v>217</v>
      </c>
      <c r="D68" s="41">
        <v>16.0</v>
      </c>
      <c r="E68" s="42">
        <v>3.0</v>
      </c>
      <c r="F68" s="42">
        <v>2.0</v>
      </c>
      <c r="G68" s="42">
        <v>5.0</v>
      </c>
      <c r="H68" s="42">
        <v>0.2</v>
      </c>
      <c r="I68" s="43" t="b">
        <v>0</v>
      </c>
      <c r="J68" s="12" t="s">
        <v>395</v>
      </c>
      <c r="K68" s="42" t="s">
        <v>422</v>
      </c>
    </row>
    <row r="69">
      <c r="A69" s="40" t="s">
        <v>425</v>
      </c>
      <c r="B69" s="40" t="s">
        <v>118</v>
      </c>
      <c r="C69" s="40" t="s">
        <v>119</v>
      </c>
      <c r="D69" s="41">
        <v>16.0</v>
      </c>
      <c r="E69" s="42">
        <v>2.0</v>
      </c>
      <c r="F69" s="42">
        <v>3.0</v>
      </c>
      <c r="G69" s="42">
        <v>5.0</v>
      </c>
      <c r="H69" s="42">
        <v>0.2</v>
      </c>
      <c r="I69" s="43" t="b">
        <v>1</v>
      </c>
      <c r="J69" s="12" t="s">
        <v>395</v>
      </c>
      <c r="K69" s="42" t="s">
        <v>422</v>
      </c>
    </row>
    <row r="70">
      <c r="A70" s="40" t="s">
        <v>426</v>
      </c>
      <c r="B70" s="40" t="s">
        <v>105</v>
      </c>
      <c r="C70" s="40" t="s">
        <v>106</v>
      </c>
      <c r="D70" s="41">
        <v>16.0</v>
      </c>
      <c r="E70" s="42">
        <v>1.0</v>
      </c>
      <c r="F70" s="42">
        <v>4.0</v>
      </c>
      <c r="G70" s="42">
        <v>5.0</v>
      </c>
      <c r="H70" s="42">
        <v>0.6</v>
      </c>
      <c r="I70" s="43" t="b">
        <v>1</v>
      </c>
      <c r="J70" s="12" t="s">
        <v>373</v>
      </c>
      <c r="K70" s="42" t="s">
        <v>427</v>
      </c>
    </row>
    <row r="71">
      <c r="A71" s="40" t="s">
        <v>428</v>
      </c>
      <c r="B71" s="40" t="s">
        <v>289</v>
      </c>
      <c r="C71" s="40" t="s">
        <v>290</v>
      </c>
      <c r="D71" s="41">
        <v>16.0</v>
      </c>
      <c r="E71" s="42">
        <v>4.0</v>
      </c>
      <c r="F71" s="42">
        <v>1.0</v>
      </c>
      <c r="G71" s="42">
        <v>5.0</v>
      </c>
      <c r="H71" s="42">
        <v>0.6</v>
      </c>
      <c r="I71" s="43" t="b">
        <v>0</v>
      </c>
      <c r="J71" s="12" t="s">
        <v>373</v>
      </c>
      <c r="K71" s="42" t="s">
        <v>427</v>
      </c>
    </row>
    <row r="72">
      <c r="A72" s="40" t="s">
        <v>429</v>
      </c>
      <c r="B72" s="40" t="s">
        <v>152</v>
      </c>
      <c r="C72" s="40" t="s">
        <v>153</v>
      </c>
      <c r="D72" s="41">
        <v>16.0</v>
      </c>
      <c r="E72" s="42">
        <v>2.0</v>
      </c>
      <c r="F72" s="42">
        <v>5.0</v>
      </c>
      <c r="G72" s="42">
        <v>7.0</v>
      </c>
      <c r="H72" s="42">
        <v>0.428571428571428</v>
      </c>
      <c r="I72" s="43" t="b">
        <v>1</v>
      </c>
      <c r="J72" s="12" t="s">
        <v>373</v>
      </c>
      <c r="K72" s="42" t="s">
        <v>427</v>
      </c>
    </row>
    <row r="73">
      <c r="A73" s="40" t="s">
        <v>430</v>
      </c>
      <c r="B73" s="40" t="s">
        <v>253</v>
      </c>
      <c r="C73" s="40" t="s">
        <v>254</v>
      </c>
      <c r="D73" s="41">
        <v>16.0</v>
      </c>
      <c r="E73" s="42">
        <v>5.0</v>
      </c>
      <c r="F73" s="42">
        <v>2.0</v>
      </c>
      <c r="G73" s="42">
        <v>7.0</v>
      </c>
      <c r="H73" s="42">
        <v>0.428571428571428</v>
      </c>
      <c r="I73" s="43" t="b">
        <v>0</v>
      </c>
      <c r="J73" s="12" t="s">
        <v>373</v>
      </c>
      <c r="K73" s="42" t="s">
        <v>427</v>
      </c>
    </row>
    <row r="74">
      <c r="A74" s="40" t="s">
        <v>431</v>
      </c>
      <c r="B74" s="40" t="s">
        <v>292</v>
      </c>
      <c r="C74" s="40" t="s">
        <v>293</v>
      </c>
      <c r="D74" s="41">
        <v>16.0</v>
      </c>
      <c r="E74" s="42">
        <v>1.0</v>
      </c>
      <c r="F74" s="42">
        <v>6.0</v>
      </c>
      <c r="G74" s="42">
        <v>7.0</v>
      </c>
      <c r="H74" s="42">
        <v>0.714285714285714</v>
      </c>
      <c r="I74" s="43" t="b">
        <v>1</v>
      </c>
      <c r="J74" s="12" t="s">
        <v>362</v>
      </c>
      <c r="K74" s="42" t="s">
        <v>432</v>
      </c>
    </row>
    <row r="75">
      <c r="A75" s="40" t="s">
        <v>433</v>
      </c>
      <c r="B75" s="40" t="s">
        <v>241</v>
      </c>
      <c r="C75" s="40" t="s">
        <v>242</v>
      </c>
      <c r="D75" s="41">
        <v>16.0</v>
      </c>
      <c r="E75" s="42">
        <v>5.0</v>
      </c>
      <c r="F75" s="42">
        <v>1.0</v>
      </c>
      <c r="G75" s="42">
        <v>6.0</v>
      </c>
      <c r="H75" s="42">
        <v>0.666666666666666</v>
      </c>
      <c r="I75" s="43" t="b">
        <v>0</v>
      </c>
      <c r="J75" s="12" t="s">
        <v>362</v>
      </c>
      <c r="K75" s="42" t="s">
        <v>432</v>
      </c>
    </row>
    <row r="76">
      <c r="A76" s="40" t="s">
        <v>434</v>
      </c>
      <c r="B76" s="40" t="s">
        <v>173</v>
      </c>
      <c r="C76" s="40" t="s">
        <v>174</v>
      </c>
      <c r="D76" s="41">
        <v>16.0</v>
      </c>
      <c r="E76" s="42">
        <v>2.0</v>
      </c>
      <c r="F76" s="42">
        <v>4.0</v>
      </c>
      <c r="G76" s="42">
        <v>6.0</v>
      </c>
      <c r="H76" s="42">
        <v>0.333333333333333</v>
      </c>
      <c r="I76" s="43" t="b">
        <v>1</v>
      </c>
      <c r="J76" s="12" t="s">
        <v>384</v>
      </c>
      <c r="K76" s="42" t="s">
        <v>432</v>
      </c>
    </row>
    <row r="77">
      <c r="A77" s="40" t="s">
        <v>435</v>
      </c>
      <c r="B77" s="40" t="s">
        <v>159</v>
      </c>
      <c r="C77" s="40" t="s">
        <v>160</v>
      </c>
      <c r="D77" s="41">
        <v>16.0</v>
      </c>
      <c r="E77" s="42">
        <v>4.0</v>
      </c>
      <c r="F77" s="42">
        <v>2.0</v>
      </c>
      <c r="G77" s="42">
        <v>6.0</v>
      </c>
      <c r="H77" s="42">
        <v>0.333333333333333</v>
      </c>
      <c r="I77" s="43" t="b">
        <v>0</v>
      </c>
      <c r="J77" s="12" t="s">
        <v>384</v>
      </c>
      <c r="K77" s="42" t="s">
        <v>432</v>
      </c>
    </row>
    <row r="78">
      <c r="A78" s="40" t="s">
        <v>436</v>
      </c>
      <c r="B78" s="40" t="s">
        <v>109</v>
      </c>
      <c r="C78" s="40" t="s">
        <v>110</v>
      </c>
      <c r="D78" s="41">
        <v>16.0</v>
      </c>
      <c r="E78" s="42">
        <v>7.0</v>
      </c>
      <c r="F78" s="42">
        <v>0.0</v>
      </c>
      <c r="G78" s="42">
        <v>7.0</v>
      </c>
      <c r="H78" s="42">
        <v>1.0</v>
      </c>
      <c r="I78" s="43" t="b">
        <v>0</v>
      </c>
      <c r="J78" s="12" t="s">
        <v>350</v>
      </c>
      <c r="K78" s="42" t="s">
        <v>437</v>
      </c>
    </row>
    <row r="79">
      <c r="A79" s="40" t="s">
        <v>438</v>
      </c>
      <c r="B79" s="40" t="s">
        <v>249</v>
      </c>
      <c r="C79" s="40" t="s">
        <v>250</v>
      </c>
      <c r="D79" s="41">
        <v>16.0</v>
      </c>
      <c r="E79" s="42">
        <v>0.0</v>
      </c>
      <c r="F79" s="42">
        <v>6.0</v>
      </c>
      <c r="G79" s="42">
        <v>6.0</v>
      </c>
      <c r="H79" s="42">
        <v>1.0</v>
      </c>
      <c r="I79" s="43" t="b">
        <v>1</v>
      </c>
      <c r="J79" s="12" t="s">
        <v>350</v>
      </c>
      <c r="K79" s="42" t="s">
        <v>437</v>
      </c>
    </row>
    <row r="80">
      <c r="A80" s="40" t="s">
        <v>439</v>
      </c>
      <c r="B80" s="40" t="s">
        <v>125</v>
      </c>
      <c r="C80" s="40" t="s">
        <v>126</v>
      </c>
      <c r="D80" s="41">
        <v>16.0</v>
      </c>
      <c r="E80" s="42">
        <v>3.0</v>
      </c>
      <c r="F80" s="42">
        <v>2.0</v>
      </c>
      <c r="G80" s="42">
        <v>5.0</v>
      </c>
      <c r="H80" s="42">
        <v>0.2</v>
      </c>
      <c r="I80" s="43" t="b">
        <v>0</v>
      </c>
      <c r="J80" s="12" t="s">
        <v>395</v>
      </c>
      <c r="K80" s="42" t="s">
        <v>437</v>
      </c>
    </row>
    <row r="81">
      <c r="A81" s="40" t="s">
        <v>440</v>
      </c>
      <c r="B81" s="40" t="s">
        <v>167</v>
      </c>
      <c r="C81" s="40" t="s">
        <v>168</v>
      </c>
      <c r="D81" s="41">
        <v>16.0</v>
      </c>
      <c r="E81" s="42">
        <v>2.0</v>
      </c>
      <c r="F81" s="42">
        <v>3.0</v>
      </c>
      <c r="G81" s="42">
        <v>5.0</v>
      </c>
      <c r="H81" s="42">
        <v>0.2</v>
      </c>
      <c r="I81" s="43" t="b">
        <v>1</v>
      </c>
      <c r="J81" s="12" t="s">
        <v>395</v>
      </c>
      <c r="K81" s="42" t="s">
        <v>437</v>
      </c>
    </row>
    <row r="82">
      <c r="A82" s="40" t="s">
        <v>441</v>
      </c>
      <c r="B82" s="40" t="s">
        <v>267</v>
      </c>
      <c r="C82" s="40" t="s">
        <v>268</v>
      </c>
      <c r="D82" s="41">
        <v>16.0</v>
      </c>
      <c r="E82" s="42">
        <v>1.0</v>
      </c>
      <c r="F82" s="42">
        <v>7.0</v>
      </c>
      <c r="G82" s="42">
        <v>8.0</v>
      </c>
      <c r="H82" s="42">
        <v>0.75</v>
      </c>
      <c r="I82" s="43" t="b">
        <v>1</v>
      </c>
      <c r="J82" s="12" t="s">
        <v>362</v>
      </c>
      <c r="K82" s="42" t="s">
        <v>442</v>
      </c>
    </row>
    <row r="83">
      <c r="A83" s="40" t="s">
        <v>443</v>
      </c>
      <c r="B83" s="40" t="s">
        <v>107</v>
      </c>
      <c r="C83" s="40" t="s">
        <v>108</v>
      </c>
      <c r="D83" s="41">
        <v>16.0</v>
      </c>
      <c r="E83" s="42">
        <v>5.0</v>
      </c>
      <c r="F83" s="42">
        <v>1.0</v>
      </c>
      <c r="G83" s="42">
        <v>6.0</v>
      </c>
      <c r="H83" s="42">
        <v>0.666666666666666</v>
      </c>
      <c r="I83" s="43" t="b">
        <v>0</v>
      </c>
      <c r="J83" s="12" t="s">
        <v>362</v>
      </c>
      <c r="K83" s="42" t="s">
        <v>442</v>
      </c>
    </row>
    <row r="84">
      <c r="A84" s="40" t="s">
        <v>444</v>
      </c>
      <c r="B84" s="40" t="s">
        <v>181</v>
      </c>
      <c r="C84" s="40" t="s">
        <v>182</v>
      </c>
      <c r="D84" s="41">
        <v>16.0</v>
      </c>
      <c r="E84" s="42">
        <v>2.0</v>
      </c>
      <c r="F84" s="42">
        <v>4.0</v>
      </c>
      <c r="G84" s="42">
        <v>6.0</v>
      </c>
      <c r="H84" s="42">
        <v>0.333333333333333</v>
      </c>
      <c r="I84" s="43" t="b">
        <v>1</v>
      </c>
      <c r="J84" s="12" t="s">
        <v>384</v>
      </c>
      <c r="K84" s="42" t="s">
        <v>442</v>
      </c>
    </row>
    <row r="85">
      <c r="A85" s="40" t="s">
        <v>445</v>
      </c>
      <c r="B85" s="40" t="s">
        <v>139</v>
      </c>
      <c r="C85" s="40" t="s">
        <v>140</v>
      </c>
      <c r="D85" s="41">
        <v>16.0</v>
      </c>
      <c r="E85" s="42">
        <v>4.0</v>
      </c>
      <c r="F85" s="42">
        <v>2.0</v>
      </c>
      <c r="G85" s="42">
        <v>6.0</v>
      </c>
      <c r="H85" s="42">
        <v>0.333333333333333</v>
      </c>
      <c r="I85" s="43" t="b">
        <v>0</v>
      </c>
      <c r="J85" s="12" t="s">
        <v>384</v>
      </c>
      <c r="K85" s="42" t="s">
        <v>442</v>
      </c>
    </row>
    <row r="86">
      <c r="A86" s="40" t="s">
        <v>446</v>
      </c>
      <c r="B86" s="40" t="s">
        <v>263</v>
      </c>
      <c r="C86" s="40" t="s">
        <v>264</v>
      </c>
      <c r="D86" s="41">
        <v>16.0</v>
      </c>
      <c r="E86" s="42">
        <v>0.0</v>
      </c>
      <c r="F86" s="42">
        <v>6.0</v>
      </c>
      <c r="G86" s="42">
        <v>6.0</v>
      </c>
      <c r="H86" s="42">
        <v>1.0</v>
      </c>
      <c r="I86" s="43" t="b">
        <v>1</v>
      </c>
      <c r="J86" s="12" t="s">
        <v>350</v>
      </c>
      <c r="K86" s="42" t="s">
        <v>447</v>
      </c>
    </row>
    <row r="87">
      <c r="A87" s="40" t="s">
        <v>448</v>
      </c>
      <c r="B87" s="40" t="s">
        <v>179</v>
      </c>
      <c r="C87" s="40" t="s">
        <v>180</v>
      </c>
      <c r="D87" s="41">
        <v>16.0</v>
      </c>
      <c r="E87" s="42">
        <v>7.0</v>
      </c>
      <c r="F87" s="42">
        <v>0.0</v>
      </c>
      <c r="G87" s="42">
        <v>7.0</v>
      </c>
      <c r="H87" s="42">
        <v>1.0</v>
      </c>
      <c r="I87" s="43" t="b">
        <v>0</v>
      </c>
      <c r="J87" s="12" t="s">
        <v>350</v>
      </c>
      <c r="K87" s="42" t="s">
        <v>447</v>
      </c>
    </row>
    <row r="88">
      <c r="A88" s="40" t="s">
        <v>449</v>
      </c>
      <c r="B88" s="40" t="s">
        <v>199</v>
      </c>
      <c r="C88" s="40" t="s">
        <v>200</v>
      </c>
      <c r="D88" s="41">
        <v>16.0</v>
      </c>
      <c r="E88" s="42">
        <v>3.0</v>
      </c>
      <c r="F88" s="42">
        <v>4.0</v>
      </c>
      <c r="G88" s="42">
        <v>7.0</v>
      </c>
      <c r="H88" s="42">
        <v>0.142857142857142</v>
      </c>
      <c r="I88" s="43" t="b">
        <v>1</v>
      </c>
      <c r="J88" s="12" t="s">
        <v>395</v>
      </c>
      <c r="K88" s="42" t="s">
        <v>447</v>
      </c>
    </row>
    <row r="89">
      <c r="A89" s="40" t="s">
        <v>450</v>
      </c>
      <c r="B89" s="40" t="s">
        <v>278</v>
      </c>
      <c r="C89" s="40" t="s">
        <v>279</v>
      </c>
      <c r="D89" s="41">
        <v>16.0</v>
      </c>
      <c r="E89" s="42">
        <v>4.0</v>
      </c>
      <c r="F89" s="42">
        <v>3.0</v>
      </c>
      <c r="G89" s="42">
        <v>7.0</v>
      </c>
      <c r="H89" s="42">
        <v>0.142857142857142</v>
      </c>
      <c r="I89" s="43" t="b">
        <v>0</v>
      </c>
      <c r="J89" s="12" t="s">
        <v>395</v>
      </c>
      <c r="K89" s="42" t="s">
        <v>447</v>
      </c>
    </row>
    <row r="90">
      <c r="A90" s="40" t="s">
        <v>451</v>
      </c>
      <c r="B90" s="40" t="s">
        <v>224</v>
      </c>
      <c r="C90" s="40" t="s">
        <v>225</v>
      </c>
      <c r="D90" s="41">
        <v>16.0</v>
      </c>
      <c r="E90" s="42">
        <v>1.0</v>
      </c>
      <c r="F90" s="42">
        <v>4.0</v>
      </c>
      <c r="G90" s="42">
        <v>5.0</v>
      </c>
      <c r="H90" s="42">
        <v>0.6</v>
      </c>
      <c r="I90" s="43" t="b">
        <v>1</v>
      </c>
      <c r="J90" s="12" t="s">
        <v>373</v>
      </c>
      <c r="K90" s="42" t="s">
        <v>452</v>
      </c>
    </row>
    <row r="91">
      <c r="A91" s="40" t="s">
        <v>453</v>
      </c>
      <c r="B91" s="40" t="s">
        <v>310</v>
      </c>
      <c r="C91" s="40" t="s">
        <v>311</v>
      </c>
      <c r="D91" s="41">
        <v>16.0</v>
      </c>
      <c r="E91" s="42">
        <v>4.0</v>
      </c>
      <c r="F91" s="42">
        <v>1.0</v>
      </c>
      <c r="G91" s="42">
        <v>5.0</v>
      </c>
      <c r="H91" s="42">
        <v>0.6</v>
      </c>
      <c r="I91" s="43" t="b">
        <v>0</v>
      </c>
      <c r="J91" s="12" t="s">
        <v>373</v>
      </c>
      <c r="K91" s="42" t="s">
        <v>452</v>
      </c>
    </row>
    <row r="92">
      <c r="A92" s="40" t="s">
        <v>454</v>
      </c>
      <c r="B92" s="40" t="s">
        <v>177</v>
      </c>
      <c r="C92" s="40" t="s">
        <v>178</v>
      </c>
      <c r="D92" s="41">
        <v>16.0</v>
      </c>
      <c r="E92" s="42">
        <v>2.0</v>
      </c>
      <c r="F92" s="42">
        <v>5.0</v>
      </c>
      <c r="G92" s="42">
        <v>7.0</v>
      </c>
      <c r="H92" s="42">
        <v>0.428571428571428</v>
      </c>
      <c r="I92" s="43" t="b">
        <v>1</v>
      </c>
      <c r="J92" s="12" t="s">
        <v>373</v>
      </c>
      <c r="K92" s="42" t="s">
        <v>452</v>
      </c>
    </row>
    <row r="93">
      <c r="A93" s="40" t="s">
        <v>455</v>
      </c>
      <c r="B93" s="40" t="s">
        <v>122</v>
      </c>
      <c r="C93" s="40" t="s">
        <v>123</v>
      </c>
      <c r="D93" s="41">
        <v>16.0</v>
      </c>
      <c r="E93" s="42">
        <v>5.0</v>
      </c>
      <c r="F93" s="42">
        <v>2.0</v>
      </c>
      <c r="G93" s="42">
        <v>7.0</v>
      </c>
      <c r="H93" s="42">
        <v>0.428571428571428</v>
      </c>
      <c r="I93" s="43" t="b">
        <v>0</v>
      </c>
      <c r="J93" s="12" t="s">
        <v>373</v>
      </c>
      <c r="K93" s="42" t="s">
        <v>452</v>
      </c>
    </row>
    <row r="94">
      <c r="A94" s="40" t="s">
        <v>456</v>
      </c>
      <c r="B94" s="40" t="s">
        <v>191</v>
      </c>
      <c r="C94" s="40" t="s">
        <v>192</v>
      </c>
      <c r="D94" s="41">
        <v>16.0</v>
      </c>
      <c r="E94" s="42">
        <v>1.0</v>
      </c>
      <c r="F94" s="42">
        <v>5.0</v>
      </c>
      <c r="G94" s="42">
        <v>6.0</v>
      </c>
      <c r="H94" s="42">
        <v>0.666666666666666</v>
      </c>
      <c r="I94" s="43" t="b">
        <v>1</v>
      </c>
      <c r="J94" s="12" t="s">
        <v>362</v>
      </c>
      <c r="K94" s="42" t="s">
        <v>457</v>
      </c>
    </row>
    <row r="95">
      <c r="A95" s="40" t="s">
        <v>458</v>
      </c>
      <c r="B95" s="40" t="s">
        <v>287</v>
      </c>
      <c r="C95" s="40" t="s">
        <v>288</v>
      </c>
      <c r="D95" s="41">
        <v>16.0</v>
      </c>
      <c r="E95" s="42">
        <v>5.0</v>
      </c>
      <c r="F95" s="42">
        <v>1.0</v>
      </c>
      <c r="G95" s="42">
        <v>6.0</v>
      </c>
      <c r="H95" s="42">
        <v>0.666666666666666</v>
      </c>
      <c r="I95" s="43" t="b">
        <v>0</v>
      </c>
      <c r="J95" s="12" t="s">
        <v>362</v>
      </c>
      <c r="K95" s="42" t="s">
        <v>457</v>
      </c>
    </row>
    <row r="96">
      <c r="A96" s="40" t="s">
        <v>459</v>
      </c>
      <c r="B96" s="40" t="s">
        <v>275</v>
      </c>
      <c r="C96" s="40" t="s">
        <v>276</v>
      </c>
      <c r="D96" s="41">
        <v>16.0</v>
      </c>
      <c r="E96" s="42">
        <v>2.0</v>
      </c>
      <c r="F96" s="42">
        <v>4.0</v>
      </c>
      <c r="G96" s="42">
        <v>6.0</v>
      </c>
      <c r="H96" s="42">
        <v>0.333333333333333</v>
      </c>
      <c r="I96" s="43" t="b">
        <v>1</v>
      </c>
      <c r="J96" s="12" t="s">
        <v>384</v>
      </c>
      <c r="K96" s="42" t="s">
        <v>457</v>
      </c>
    </row>
    <row r="97">
      <c r="A97" s="40" t="s">
        <v>460</v>
      </c>
      <c r="B97" s="40" t="s">
        <v>165</v>
      </c>
      <c r="C97" s="40" t="s">
        <v>166</v>
      </c>
      <c r="D97" s="41">
        <v>16.0</v>
      </c>
      <c r="E97" s="42">
        <v>4.0</v>
      </c>
      <c r="F97" s="42">
        <v>2.0</v>
      </c>
      <c r="G97" s="42">
        <v>6.0</v>
      </c>
      <c r="H97" s="42">
        <v>0.333333333333333</v>
      </c>
      <c r="I97" s="43" t="b">
        <v>0</v>
      </c>
      <c r="J97" s="12" t="s">
        <v>384</v>
      </c>
      <c r="K97" s="42" t="s">
        <v>457</v>
      </c>
    </row>
    <row r="98">
      <c r="A98" s="40" t="s">
        <v>461</v>
      </c>
      <c r="B98" s="40" t="s">
        <v>187</v>
      </c>
      <c r="C98" s="40" t="s">
        <v>188</v>
      </c>
      <c r="D98" s="41">
        <v>16.0</v>
      </c>
      <c r="E98" s="42">
        <v>1.0</v>
      </c>
      <c r="F98" s="42">
        <v>6.0</v>
      </c>
      <c r="G98" s="42">
        <v>7.0</v>
      </c>
      <c r="H98" s="42">
        <v>0.714285714285714</v>
      </c>
      <c r="I98" s="43" t="b">
        <v>1</v>
      </c>
      <c r="J98" s="12" t="s">
        <v>362</v>
      </c>
      <c r="K98" s="42" t="s">
        <v>462</v>
      </c>
    </row>
    <row r="99">
      <c r="A99" s="40" t="s">
        <v>463</v>
      </c>
      <c r="B99" s="40" t="s">
        <v>301</v>
      </c>
      <c r="C99" s="40" t="s">
        <v>302</v>
      </c>
      <c r="D99" s="41">
        <v>16.0</v>
      </c>
      <c r="E99" s="42">
        <v>6.0</v>
      </c>
      <c r="F99" s="42">
        <v>1.0</v>
      </c>
      <c r="G99" s="42">
        <v>7.0</v>
      </c>
      <c r="H99" s="42">
        <v>0.714285714285714</v>
      </c>
      <c r="I99" s="43" t="b">
        <v>0</v>
      </c>
      <c r="J99" s="12" t="s">
        <v>362</v>
      </c>
      <c r="K99" s="42" t="s">
        <v>462</v>
      </c>
    </row>
    <row r="100">
      <c r="A100" s="40" t="s">
        <v>464</v>
      </c>
      <c r="B100" s="40" t="s">
        <v>229</v>
      </c>
      <c r="C100" s="40" t="s">
        <v>230</v>
      </c>
      <c r="D100" s="41">
        <v>16.0</v>
      </c>
      <c r="E100" s="42">
        <v>2.0</v>
      </c>
      <c r="F100" s="42">
        <v>6.0</v>
      </c>
      <c r="G100" s="42">
        <v>8.0</v>
      </c>
      <c r="H100" s="42">
        <v>0.5</v>
      </c>
      <c r="I100" s="43" t="b">
        <v>1</v>
      </c>
      <c r="J100" s="12" t="s">
        <v>373</v>
      </c>
      <c r="K100" s="42" t="s">
        <v>465</v>
      </c>
    </row>
    <row r="101">
      <c r="A101" s="40" t="s">
        <v>466</v>
      </c>
      <c r="B101" s="40" t="s">
        <v>147</v>
      </c>
      <c r="C101" s="40" t="s">
        <v>148</v>
      </c>
      <c r="D101" s="41">
        <v>16.0</v>
      </c>
      <c r="E101" s="42">
        <v>5.0</v>
      </c>
      <c r="F101" s="42">
        <v>2.0</v>
      </c>
      <c r="G101" s="42">
        <v>7.0</v>
      </c>
      <c r="H101" s="42">
        <v>0.428571428571428</v>
      </c>
      <c r="I101" s="43" t="b">
        <v>0</v>
      </c>
      <c r="J101" s="12" t="s">
        <v>373</v>
      </c>
      <c r="K101" s="42" t="s">
        <v>465</v>
      </c>
    </row>
  </sheetData>
  <autoFilter ref="$A$1:$K$101">
    <sortState ref="A1:K101">
      <sortCondition ref="K1:K101"/>
      <sortCondition descending="1" ref="H1:H101"/>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sheetViews>
  <sheetFormatPr customHeight="1" defaultColWidth="12.63" defaultRowHeight="15.75"/>
  <cols>
    <col customWidth="1" min="2" max="2" width="53.13"/>
    <col customWidth="1" min="3" max="3" width="21.75"/>
    <col customWidth="1" min="6" max="7" width="14.38"/>
    <col customWidth="1" min="9" max="9" width="12.75"/>
    <col customWidth="1" hidden="1" min="11" max="11" width="7.5"/>
    <col customWidth="1" hidden="1" min="12" max="12" width="7.75"/>
    <col customWidth="1" hidden="1" min="13" max="14" width="7.25"/>
    <col customWidth="1" hidden="1" min="15" max="15" width="6.25"/>
    <col customWidth="1" hidden="1" min="16" max="16" width="8.38"/>
    <col customWidth="1" hidden="1" min="17" max="17" width="23.88"/>
    <col customWidth="1" min="18" max="18" width="39.75"/>
  </cols>
  <sheetData>
    <row r="1">
      <c r="A1" s="30" t="s">
        <v>95</v>
      </c>
      <c r="B1" s="31" t="s">
        <v>96</v>
      </c>
      <c r="C1" s="44" t="s">
        <v>467</v>
      </c>
      <c r="D1" s="45" t="s">
        <v>64</v>
      </c>
      <c r="E1" s="44" t="s">
        <v>65</v>
      </c>
      <c r="F1" s="44" t="s">
        <v>66</v>
      </c>
      <c r="G1" s="44" t="s">
        <v>67</v>
      </c>
      <c r="H1" s="44" t="s">
        <v>68</v>
      </c>
      <c r="I1" s="45" t="s">
        <v>69</v>
      </c>
      <c r="J1" s="46" t="s">
        <v>468</v>
      </c>
      <c r="K1" s="45" t="s">
        <v>64</v>
      </c>
      <c r="L1" s="44" t="s">
        <v>65</v>
      </c>
      <c r="M1" s="44" t="s">
        <v>66</v>
      </c>
      <c r="N1" s="44" t="s">
        <v>67</v>
      </c>
      <c r="O1" s="44" t="s">
        <v>68</v>
      </c>
      <c r="P1" s="45" t="s">
        <v>69</v>
      </c>
      <c r="Q1" s="46" t="s">
        <v>469</v>
      </c>
      <c r="R1" s="46" t="str">
        <f t="array" ref="R1:R101">Q:Q</f>
        <v>Comments</v>
      </c>
      <c r="S1" s="47" t="s">
        <v>470</v>
      </c>
      <c r="T1" s="23" t="s">
        <v>471</v>
      </c>
      <c r="U1" s="23" t="s">
        <v>472</v>
      </c>
    </row>
    <row r="2">
      <c r="A2" s="12" t="str">
        <f>IFERROR(__xludf.DUMMYFUNCTION("QUERY(Source!B2:C101,""SELECT B, C"", 1)"),"044acc4000233981552512a097857790")</f>
        <v>044acc4000233981552512a097857790</v>
      </c>
      <c r="B2" s="12" t="str">
        <f>IFERROR(__xludf.DUMMYFUNCTION("""COMPUTED_VALUE"""),"Abstract   Research method is a way of conducting research, a sort of package of strategies for gathering data. Method is not the same as methodology, and writing two separate chapters for each of these will help to ensure that the difference between them"&amp;" is maintained, but this is not necessary. You will make your own decisions regarding whether to address both in the same chapter or not. It is also useful to have a section in this chapter headed Technique, such as doing a survey or interviewing research"&amp;" participants. Some of the more common methods in qualitative research are case study, ethnography, document analysis, discourse analysis, and narrative enquiry. The selection of method will be informed by the methodology you have selected, and you will a"&amp;"ddress issues of validity and trustworthiness as these pertain to the ways in which you employ the method selected.")</f>
        <v>Abstract   Research method is a way of conducting research, a sort of package of strategies for gathering data. Method is not the same as methodology, and writing two separate chapters for each of these will help to ensure that the difference between them is maintained, but this is not necessary. You will make your own decisions regarding whether to address both in the same chapter or not. It is also useful to have a section in this chapter headed Technique, such as doing a survey or interviewing research participants. Some of the more common methods in qualitative research are case study, ethnography, document analysis, discourse analysis, and narrative enquiry. The selection of method will be informed by the methodology you have selected, and you will address issues of validity and trustworthiness as these pertain to the ways in which you employ the method selected.</v>
      </c>
      <c r="C2" s="48"/>
      <c r="D2" s="48" t="b">
        <f t="shared" ref="D2:I2" si="1">VLOOKUP($A2, INDIRECT(D$1&amp;"!A:C"), 3, FALSE)</f>
        <v>0</v>
      </c>
      <c r="E2" s="48" t="str">
        <f t="shared" si="1"/>
        <v>TO DO</v>
      </c>
      <c r="F2" s="48" t="b">
        <f t="shared" si="1"/>
        <v>0</v>
      </c>
      <c r="G2" s="48" t="str">
        <f t="shared" si="1"/>
        <v>TO DO</v>
      </c>
      <c r="H2" s="48" t="b">
        <f t="shared" si="1"/>
        <v>0</v>
      </c>
      <c r="I2" s="48" t="b">
        <f t="shared" si="1"/>
        <v>0</v>
      </c>
      <c r="J2" s="49">
        <f t="shared" ref="J2:J101" si="4">IF(COUNTA(D2:I2)=COUNTIF(D2:I2, "TO DO"), 0, ABS((COUNTIF(D2:I2,"TRUE")-COUNTIF(D2:I2, "FALSE")) / (COUNTA(D2:I2)-COUNTIF(D2:I2, "TO DO"))))</f>
        <v>1</v>
      </c>
      <c r="K2" s="50" t="str">
        <f t="shared" ref="K2:P2" si="2">VLOOKUP($A2, INDIRECT(K$1&amp;"!A:D"), 4, FALSE)</f>
        <v/>
      </c>
      <c r="L2" s="50" t="str">
        <f t="shared" si="2"/>
        <v/>
      </c>
      <c r="M2" s="50" t="str">
        <f t="shared" si="2"/>
        <v/>
      </c>
      <c r="N2" s="50" t="str">
        <f t="shared" si="2"/>
        <v/>
      </c>
      <c r="O2" s="50" t="str">
        <f t="shared" si="2"/>
        <v/>
      </c>
      <c r="P2" s="50" t="str">
        <f t="shared" si="2"/>
        <v/>
      </c>
      <c r="Q2" s="49" t="str">
        <f>IFERROR(__xludf.DUMMYFUNCTION("IF(COUNTA(K2:P2)=0, """", ARRAYFORMULA(""- ""&amp;TEXTJOIN(char(10)&amp;""- "", TRUE, FILTER(K$1:P$1&amp;"": ""&amp;K2:P2, NOT(ISBLANK(K2:P2))))))"),"")</f>
        <v/>
      </c>
      <c r="R2" s="49" t="s">
        <v>473</v>
      </c>
      <c r="S2" s="51" t="b">
        <v>0</v>
      </c>
    </row>
    <row r="3">
      <c r="A3" s="12" t="str">
        <f>IFERROR(__xludf.DUMMYFUNCTION("""COMPUTED_VALUE"""),"1b7ad33f6cc1f571f25f1a908ceb0ab2")</f>
        <v>1b7ad33f6cc1f571f25f1a908ceb0ab2</v>
      </c>
      <c r="B3" s="12" t="str">
        <f>IFERROR(__xludf.DUMMYFUNCTION("""COMPUTED_VALUE"""),"Abstract   Climate change poses a significant risk for communities, and local governments around the world have begun responding by developing climate adaptation policies. Scholarship on local adaptation policy has proliferated in recent years, but insuff"&amp;"icient attention has been paid to operationalization of the unit of analysis, and methods employed are typically inadequate to draw inferences about variation across cases. This article seeks to contribute to the conceptual and methodological foundations "&amp;"of a research agenda for comparative analysis of local adaptation policies and policy-making. Synthesizing insights from policy studies literature and existing adaptation research, the article identifies and operationalizes two aspects of public policy—po"&amp;"licy content and policy process—which are salient objects of comparative analysis that typically vary from one community to another. The article also addresses research design, outlining a comparative case study methodology that incorporates various quali"&amp;"tative analytical techniques as the vehicle to examine these policy elements in empirical settings.")</f>
        <v>Abstract   Climate change poses a significant risk for communities, and local governments around the world have begun responding by developing climate adaptation policies. Scholarship on local adaptation policy has proliferated in recent years, but insufficient attention has been paid to operationalization of the unit of analysis, and methods employed are typically inadequate to draw inferences about variation across cases. This article seeks to contribute to the conceptual and methodological foundations of a research agenda for comparative analysis of local adaptation policies and policy-making. Synthesizing insights from policy studies literature and existing adaptation research, the article identifies and operationalizes two aspects of public policy—policy content and policy process—which are salient objects of comparative analysis that typically vary from one community to another. The article also addresses research design, outlining a comparative case study methodology that incorporates various qualitative analytical techniques as the vehicle to examine these policy elements in empirical settings.</v>
      </c>
      <c r="C3" s="7" t="s">
        <v>474</v>
      </c>
      <c r="D3" s="48" t="b">
        <f t="shared" ref="D3:I3" si="3">VLOOKUP($A3, INDIRECT(D$1&amp;"!A:C"), 3, FALSE)</f>
        <v>1</v>
      </c>
      <c r="E3" s="48" t="str">
        <f t="shared" si="3"/>
        <v>TO DO</v>
      </c>
      <c r="F3" s="48" t="b">
        <f t="shared" si="3"/>
        <v>0</v>
      </c>
      <c r="G3" s="48" t="str">
        <f t="shared" si="3"/>
        <v>TO DO</v>
      </c>
      <c r="H3" s="48" t="b">
        <f t="shared" si="3"/>
        <v>1</v>
      </c>
      <c r="I3" s="48" t="b">
        <f t="shared" si="3"/>
        <v>0</v>
      </c>
      <c r="J3" s="49">
        <f t="shared" si="4"/>
        <v>0</v>
      </c>
      <c r="K3" s="50" t="str">
        <f t="shared" ref="K3:L3" si="5">VLOOKUP($A3, INDIRECT(K$1&amp;"!A:D"), 4, FALSE)</f>
        <v>weak link</v>
      </c>
      <c r="L3" s="50" t="str">
        <f t="shared" si="5"/>
        <v/>
      </c>
      <c r="M3" s="50"/>
      <c r="N3" s="50" t="str">
        <f t="shared" ref="N3:P3" si="6">VLOOKUP($A3, INDIRECT(N$1&amp;"!A:D"), 4, FALSE)</f>
        <v/>
      </c>
      <c r="O3" s="50" t="str">
        <f t="shared" si="6"/>
        <v/>
      </c>
      <c r="P3" s="50" t="str">
        <f t="shared" si="6"/>
        <v/>
      </c>
      <c r="Q3" s="49" t="str">
        <f>IFERROR(__xludf.DUMMYFUNCTION("IF(COUNTA(K3:P3)=0, """", ARRAYFORMULA(""- ""&amp;TEXTJOIN(char(10)&amp;""- "", TRUE, FILTER(K$1:P$1&amp;"": ""&amp;K3:P3, NOT(ISBLANK(K3:P3))))))"),"- Finn: weak link")</f>
        <v>- Finn: weak link</v>
      </c>
      <c r="R3" s="49" t="s">
        <v>475</v>
      </c>
      <c r="S3" s="51" t="s">
        <v>476</v>
      </c>
    </row>
    <row r="4">
      <c r="A4" s="12" t="str">
        <f>IFERROR(__xludf.DUMMYFUNCTION("""COMPUTED_VALUE"""),"3e2faa4615f1dd88369f544606ab07c0")</f>
        <v>3e2faa4615f1dd88369f544606ab07c0</v>
      </c>
      <c r="B4" s="12" t="str">
        <f>IFERROR(__xludf.DUMMYFUNCTION("""COMPUTED_VALUE"""),"The new media rhetoric, with its emphasis on radical breaks from old media, often masks the degree to which continuity goes hand-in-hand with change. Moreover, the industry’s vision of convergence ignores the competing versions of, and struggles over, the"&amp;" digital future. Against this background, this article focuses on an inter-media site, broadcasters’ websites, seeks to identify the changes and continuities in the notion of the audience, and interprets these in the light of inter-media competition. Usin"&amp;"g a variant of discourse analysis, which makes hyperlinks its unit of analysis, this study has identified six understandings of the audience online: spectators, fans, consumers, citizens, students, and cybernauts. These reveal that television has merely e"&amp;"xpanded online, but not really changed its understandings of audiences, suggesting that in its struggle for dominance, television has chosen to stamp the internet with the televisual, rather than making full use of the internet’s potential.")</f>
        <v>The new media rhetoric, with its emphasis on radical breaks from old media, often masks the degree to which continuity goes hand-in-hand with change. Moreover, the industry’s vision of convergence ignores the competing versions of, and struggles over, the digital future. Against this background, this article focuses on an inter-media site, broadcasters’ websites, seeks to identify the changes and continuities in the notion of the audience, and interprets these in the light of inter-media competition. Using a variant of discourse analysis, which makes hyperlinks its unit of analysis, this study has identified six understandings of the audience online: spectators, fans, consumers, citizens, students, and cybernauts. These reveal that television has merely expanded online, but not really changed its understandings of audiences, suggesting that in its struggle for dominance, television has chosen to stamp the internet with the televisual, rather than making full use of the internet’s potential.</v>
      </c>
      <c r="C4" s="48"/>
      <c r="D4" s="48" t="b">
        <f t="shared" ref="D4:I4" si="7">VLOOKUP($A4, INDIRECT(D$1&amp;"!A:C"), 3, FALSE)</f>
        <v>0</v>
      </c>
      <c r="E4" s="48" t="str">
        <f t="shared" si="7"/>
        <v>TO DO</v>
      </c>
      <c r="F4" s="48" t="b">
        <f t="shared" si="7"/>
        <v>0</v>
      </c>
      <c r="G4" s="48" t="str">
        <f t="shared" si="7"/>
        <v>TO DO</v>
      </c>
      <c r="H4" s="48" t="b">
        <f t="shared" si="7"/>
        <v>0</v>
      </c>
      <c r="I4" s="48" t="b">
        <f t="shared" si="7"/>
        <v>0</v>
      </c>
      <c r="J4" s="49">
        <f t="shared" si="4"/>
        <v>1</v>
      </c>
      <c r="K4" s="50" t="str">
        <f t="shared" ref="K4:L4" si="8">VLOOKUP($A4, INDIRECT(K$1&amp;"!A:D"), 4, FALSE)</f>
        <v/>
      </c>
      <c r="L4" s="50" t="str">
        <f t="shared" si="8"/>
        <v/>
      </c>
      <c r="M4" s="50"/>
      <c r="N4" s="50" t="str">
        <f t="shared" ref="N4:P4" si="9">VLOOKUP($A4, INDIRECT(N$1&amp;"!A:D"), 4, FALSE)</f>
        <v/>
      </c>
      <c r="O4" s="50" t="str">
        <f t="shared" si="9"/>
        <v/>
      </c>
      <c r="P4" s="50" t="str">
        <f t="shared" si="9"/>
        <v>not really on public access to information </v>
      </c>
      <c r="Q4" s="49" t="str">
        <f>IFERROR(__xludf.DUMMYFUNCTION("IF(COUNTA(K4:P4)=0, """", ARRAYFORMULA(""- ""&amp;TEXTJOIN(char(10)&amp;""- "", TRUE, FILTER(K$1:P$1&amp;"": ""&amp;K4:P4, NOT(ISBLANK(K4:P4))))))"),"- Steve: not really on public access to information ")</f>
        <v>- Steve: not really on public access to information </v>
      </c>
      <c r="R4" s="49" t="s">
        <v>477</v>
      </c>
      <c r="S4" s="51" t="b">
        <v>0</v>
      </c>
    </row>
    <row r="5">
      <c r="A5" s="12" t="str">
        <f>IFERROR(__xludf.DUMMYFUNCTION("""COMPUTED_VALUE"""),"b22219b08e1af7ccbefcb7985bae829d")</f>
        <v>b22219b08e1af7ccbefcb7985bae829d</v>
      </c>
      <c r="B5" s="12" t="str">
        <f>IFERROR(__xludf.DUMMYFUNCTION("""COMPUTED_VALUE"""),"The approach of ethics from the perspective of epistemic autonomy comes to bring together the professional concerned with the ethical reflection on his own practice and his own epistemological, ethical and ethical horizon, with those of the professional e"&amp;"thic who are addressing the ethical significance of practice in the various fields of social research, no more. This editorial proposes a number of directions of interest in the field of ethics in social science research, as the preferred domains, without"&amp;" being exclusive to the on-going Journal of Ethics in Social Studies.")</f>
        <v>The approach of ethics from the perspective of epistemic autonomy comes to bring together the professional concerned with the ethical reflection on his own practice and his own epistemological, ethical and ethical horizon, with those of the professional ethic who are addressing the ethical significance of practice in the various fields of social research, no more. This editorial proposes a number of directions of interest in the field of ethics in social science research, as the preferred domains, without being exclusive to the on-going Journal of Ethics in Social Studies.</v>
      </c>
      <c r="C5" s="7"/>
      <c r="D5" s="48" t="b">
        <f t="shared" ref="D5:I5" si="10">VLOOKUP($A5, INDIRECT(D$1&amp;"!A:C"), 3, FALSE)</f>
        <v>0</v>
      </c>
      <c r="E5" s="48" t="str">
        <f t="shared" si="10"/>
        <v>TO DO</v>
      </c>
      <c r="F5" s="48" t="b">
        <f t="shared" si="10"/>
        <v>0</v>
      </c>
      <c r="G5" s="48" t="str">
        <f t="shared" si="10"/>
        <v>TO DO</v>
      </c>
      <c r="H5" s="48" t="b">
        <f t="shared" si="10"/>
        <v>0</v>
      </c>
      <c r="I5" s="48" t="b">
        <f t="shared" si="10"/>
        <v>0</v>
      </c>
      <c r="J5" s="49">
        <f t="shared" si="4"/>
        <v>1</v>
      </c>
      <c r="K5" s="50" t="str">
        <f t="shared" ref="K5:L5" si="11">VLOOKUP($A5, INDIRECT(K$1&amp;"!A:D"), 4, FALSE)</f>
        <v/>
      </c>
      <c r="L5" s="50" t="str">
        <f t="shared" si="11"/>
        <v/>
      </c>
      <c r="M5" s="50"/>
      <c r="N5" s="50" t="str">
        <f t="shared" ref="N5:P5" si="12">VLOOKUP($A5, INDIRECT(N$1&amp;"!A:D"), 4, FALSE)</f>
        <v/>
      </c>
      <c r="O5" s="50" t="str">
        <f t="shared" si="12"/>
        <v/>
      </c>
      <c r="P5" s="50" t="str">
        <f t="shared" si="12"/>
        <v/>
      </c>
      <c r="Q5" s="49" t="str">
        <f>IFERROR(__xludf.DUMMYFUNCTION("IF(COUNTA(K5:P5)=0, """", ARRAYFORMULA(""- ""&amp;TEXTJOIN(char(10)&amp;""- "", TRUE, FILTER(K$1:P$1&amp;"": ""&amp;K5:P5, NOT(ISBLANK(K5:P5))))))"),"")</f>
        <v/>
      </c>
      <c r="R5" s="49" t="s">
        <v>473</v>
      </c>
      <c r="S5" s="51" t="b">
        <v>0</v>
      </c>
    </row>
    <row r="6">
      <c r="A6" s="12" t="str">
        <f>IFERROR(__xludf.DUMMYFUNCTION("""COMPUTED_VALUE"""),"d33d064dcc07a1f9093220fa20933fb2")</f>
        <v>d33d064dcc07a1f9093220fa20933fb2</v>
      </c>
      <c r="B6" s="12" t="str">
        <f>IFERROR(__xludf.DUMMYFUNCTION("""COMPUTED_VALUE"""),"In this article we argue that efforts in Indonesia to improve access to justice for the disadvantaged would greatly benefit from a pragmatic approach that takes local circumstances of custom, values and social relations into account at least as much as le"&amp;"gal reform and bureaucratic transparency. We maintain that in post-Suharto Indonesia ‘justice’ can be conceptualised as the inverse of injustice and is manifested in terms of sovereign interests. Ideal justice, such as associated with rule of law implemen"&amp;"ting programs, assumes a functioning of government and judiciary that might bring about such results. Building on our own research as well as on the articles in this special issue we argue that engaging with the role and meaning of justice should involve "&amp;"solid ethnography of justice-seekers' life-worlds, understanding of the strategies and institutions that provide justice, and paying attention to the networks and interactions that connect actors in an ever moving field.")</f>
        <v>In this article we argue that efforts in Indonesia to improve access to justice for the disadvantaged would greatly benefit from a pragmatic approach that takes local circumstances of custom, values and social relations into account at least as much as legal reform and bureaucratic transparency. We maintain that in post-Suharto Indonesia ‘justice’ can be conceptualised as the inverse of injustice and is manifested in terms of sovereign interests. Ideal justice, such as associated with rule of law implementing programs, assumes a functioning of government and judiciary that might bring about such results. Building on our own research as well as on the articles in this special issue we argue that engaging with the role and meaning of justice should involve solid ethnography of justice-seekers' life-worlds, understanding of the strategies and institutions that provide justice, and paying attention to the networks and interactions that connect actors in an ever moving field.</v>
      </c>
      <c r="C6" s="7"/>
      <c r="D6" s="48" t="b">
        <f t="shared" ref="D6:I6" si="13">VLOOKUP($A6, INDIRECT(D$1&amp;"!A:C"), 3, FALSE)</f>
        <v>1</v>
      </c>
      <c r="E6" s="48" t="str">
        <f t="shared" si="13"/>
        <v>TO DO</v>
      </c>
      <c r="F6" s="48" t="b">
        <f t="shared" si="13"/>
        <v>1</v>
      </c>
      <c r="G6" s="48" t="str">
        <f t="shared" si="13"/>
        <v>TO DO</v>
      </c>
      <c r="H6" s="48" t="b">
        <f t="shared" si="13"/>
        <v>1</v>
      </c>
      <c r="I6" s="48" t="b">
        <f t="shared" si="13"/>
        <v>1</v>
      </c>
      <c r="J6" s="49">
        <f t="shared" si="4"/>
        <v>1</v>
      </c>
      <c r="K6" s="50" t="str">
        <f t="shared" ref="K6:L6" si="14">VLOOKUP($A6, INDIRECT(K$1&amp;"!A:D"), 4, FALSE)</f>
        <v/>
      </c>
      <c r="L6" s="50" t="str">
        <f t="shared" si="14"/>
        <v/>
      </c>
      <c r="M6" s="50"/>
      <c r="N6" s="50" t="str">
        <f t="shared" ref="N6:P6" si="15">VLOOKUP($A6, INDIRECT(N$1&amp;"!A:D"), 4, FALSE)</f>
        <v/>
      </c>
      <c r="O6" s="50" t="str">
        <f t="shared" si="15"/>
        <v/>
      </c>
      <c r="P6" s="50" t="str">
        <f t="shared" si="15"/>
        <v/>
      </c>
      <c r="Q6" s="49" t="str">
        <f>IFERROR(__xludf.DUMMYFUNCTION("IF(COUNTA(K6:P6)=0, """", ARRAYFORMULA(""- ""&amp;TEXTJOIN(char(10)&amp;""- "", TRUE, FILTER(K$1:P$1&amp;"": ""&amp;K6:P6, NOT(ISBLANK(K6:P6))))))"),"")</f>
        <v/>
      </c>
      <c r="R6" s="49" t="s">
        <v>473</v>
      </c>
      <c r="S6" s="51" t="b">
        <v>1</v>
      </c>
    </row>
    <row r="7">
      <c r="A7" s="12" t="str">
        <f>IFERROR(__xludf.DUMMYFUNCTION("""COMPUTED_VALUE"""),"aefc6df83fbee96a5df6d7418c052f3b")</f>
        <v>aefc6df83fbee96a5df6d7418c052f3b</v>
      </c>
      <c r="B7" s="12" t="str">
        <f>IFERROR(__xludf.DUMMYFUNCTION("""COMPUTED_VALUE"""),"This chapter investigates the analytically distorting effects sustained by international corruption rankings of treating corruption as a phenomenon bounded within national units. It questions the resulting understanding that corruption is disproportionate"&amp;"ly a problem of the developing world, characterised by direct unmediated transfers between bribe-givers and bribe-takers. Instead, the chapter offers a more transnational networked perspective on corruption, premised on the importance of professional inte"&amp;"rmediaries in facilitating illicit finance, the blurring of legal and illegal capital flows, and the globalisation of the individual via multiple claims of residence and citizenship. These trends are evidenced by a survey of the main components of the rel"&amp;"evant transnational networks (shell companies, foreign real estate, and investor citizenship programmes). The chapter also includes a vignette study of the transnational dimensions of corruption involving Chinese individuals and the corresponding response"&amp;" of the Chinese government in internationalising its law enforcement strategies.")</f>
        <v>This chapter investigates the analytically distorting effects sustained by international corruption rankings of treating corruption as a phenomenon bounded within national units. It questions the resulting understanding that corruption is disproportionately a problem of the developing world, characterised by direct unmediated transfers between bribe-givers and bribe-takers. Instead, the chapter offers a more transnational networked perspective on corruption, premised on the importance of professional intermediaries in facilitating illicit finance, the blurring of legal and illegal capital flows, and the globalisation of the individual via multiple claims of residence and citizenship. These trends are evidenced by a survey of the main components of the relevant transnational networks (shell companies, foreign real estate, and investor citizenship programmes). The chapter also includes a vignette study of the transnational dimensions of corruption involving Chinese individuals and the corresponding response of the Chinese government in internationalising its law enforcement strategies.</v>
      </c>
      <c r="C7" s="7"/>
      <c r="D7" s="48" t="b">
        <f t="shared" ref="D7:I7" si="16">VLOOKUP($A7, INDIRECT(D$1&amp;"!A:C"), 3, FALSE)</f>
        <v>1</v>
      </c>
      <c r="E7" s="48" t="str">
        <f t="shared" si="16"/>
        <v>TO DO</v>
      </c>
      <c r="F7" s="48" t="b">
        <f t="shared" si="16"/>
        <v>1</v>
      </c>
      <c r="G7" s="48" t="str">
        <f t="shared" si="16"/>
        <v>TO DO</v>
      </c>
      <c r="H7" s="48" t="b">
        <f t="shared" si="16"/>
        <v>1</v>
      </c>
      <c r="I7" s="48" t="b">
        <f t="shared" si="16"/>
        <v>1</v>
      </c>
      <c r="J7" s="49">
        <f t="shared" si="4"/>
        <v>1</v>
      </c>
      <c r="K7" s="50" t="str">
        <f t="shared" ref="K7:L7" si="17">VLOOKUP($A7, INDIRECT(K$1&amp;"!A:D"), 4, FALSE)</f>
        <v/>
      </c>
      <c r="L7" s="50" t="str">
        <f t="shared" si="17"/>
        <v/>
      </c>
      <c r="M7" s="50"/>
      <c r="N7" s="50" t="str">
        <f t="shared" ref="N7:P7" si="18">VLOOKUP($A7, INDIRECT(N$1&amp;"!A:D"), 4, FALSE)</f>
        <v/>
      </c>
      <c r="O7" s="50" t="str">
        <f t="shared" si="18"/>
        <v/>
      </c>
      <c r="P7" s="50" t="str">
        <f t="shared" si="18"/>
        <v/>
      </c>
      <c r="Q7" s="49" t="str">
        <f>IFERROR(__xludf.DUMMYFUNCTION("IF(COUNTA(K7:P7)=0, """", ARRAYFORMULA(""- ""&amp;TEXTJOIN(char(10)&amp;""- "", TRUE, FILTER(K$1:P$1&amp;"": ""&amp;K7:P7, NOT(ISBLANK(K7:P7))))))"),"")</f>
        <v/>
      </c>
      <c r="R7" s="49" t="s">
        <v>473</v>
      </c>
      <c r="S7" s="51" t="b">
        <v>1</v>
      </c>
    </row>
    <row r="8">
      <c r="A8" s="12" t="str">
        <f>IFERROR(__xludf.DUMMYFUNCTION("""COMPUTED_VALUE"""),"77dbe6bce81475ae0b38270776fe8eb1")</f>
        <v>77dbe6bce81475ae0b38270776fe8eb1</v>
      </c>
      <c r="B8" s="12" t="str">
        <f>IFERROR(__xludf.DUMMYFUNCTION("""COMPUTED_VALUE"""),"Abstract This paper is a critique of the final report of the South African Human Rights Commission, Faultlines, on its inquiry into racism in the media. The critique builds on earlier comments by the author which fundamentally question the assumptions mad"&amp;"e by the SAHRC's independent researchers regarding discourse analysis, content analysis, as well as cultural and media studies. The paper also offers some educational strategies to deal with the real problems still facing the media in the post‐apartheid e"&amp;"ra. It calls for a participatory research agenda between academics and the media industry in resolving pressing issues of social concern.")</f>
        <v>Abstract This paper is a critique of the final report of the South African Human Rights Commission, Faultlines, on its inquiry into racism in the media. The critique builds on earlier comments by the author which fundamentally question the assumptions made by the SAHRC's independent researchers regarding discourse analysis, content analysis, as well as cultural and media studies. The paper also offers some educational strategies to deal with the real problems still facing the media in the post‐apartheid era. It calls for a participatory research agenda between academics and the media industry in resolving pressing issues of social concern.</v>
      </c>
      <c r="C8" s="7" t="s">
        <v>474</v>
      </c>
      <c r="D8" s="48" t="b">
        <f t="shared" ref="D8:I8" si="19">VLOOKUP($A8, INDIRECT(D$1&amp;"!A:C"), 3, FALSE)</f>
        <v>1</v>
      </c>
      <c r="E8" s="48" t="str">
        <f t="shared" si="19"/>
        <v>TO DO</v>
      </c>
      <c r="F8" s="48" t="b">
        <f t="shared" si="19"/>
        <v>0</v>
      </c>
      <c r="G8" s="48" t="str">
        <f t="shared" si="19"/>
        <v>TO DO</v>
      </c>
      <c r="H8" s="48" t="b">
        <f t="shared" si="19"/>
        <v>1</v>
      </c>
      <c r="I8" s="48" t="b">
        <f t="shared" si="19"/>
        <v>0</v>
      </c>
      <c r="J8" s="49">
        <f t="shared" si="4"/>
        <v>0</v>
      </c>
      <c r="K8" s="50" t="str">
        <f t="shared" ref="K8:L8" si="20">VLOOKUP($A8, INDIRECT(K$1&amp;"!A:D"), 4, FALSE)</f>
        <v/>
      </c>
      <c r="L8" s="50" t="str">
        <f t="shared" si="20"/>
        <v/>
      </c>
      <c r="M8" s="50"/>
      <c r="N8" s="50" t="str">
        <f t="shared" ref="N8:P8" si="21">VLOOKUP($A8, INDIRECT(N$1&amp;"!A:D"), 4, FALSE)</f>
        <v/>
      </c>
      <c r="O8" s="50" t="str">
        <f t="shared" si="21"/>
        <v/>
      </c>
      <c r="P8" s="50" t="str">
        <f t="shared" si="21"/>
        <v/>
      </c>
      <c r="Q8" s="49" t="str">
        <f>IFERROR(__xludf.DUMMYFUNCTION("IF(COUNTA(K8:P8)=0, """", ARRAYFORMULA(""- ""&amp;TEXTJOIN(char(10)&amp;""- "", TRUE, FILTER(K$1:P$1&amp;"": ""&amp;K8:P8, NOT(ISBLANK(K8:P8))))))"),"")</f>
        <v/>
      </c>
      <c r="R8" s="49" t="s">
        <v>473</v>
      </c>
      <c r="S8" s="51" t="s">
        <v>476</v>
      </c>
    </row>
    <row r="9">
      <c r="A9" s="12" t="str">
        <f>IFERROR(__xludf.DUMMYFUNCTION("""COMPUTED_VALUE"""),"483ea5a0bdeeeb857f35f42a39803403")</f>
        <v>483ea5a0bdeeeb857f35f42a39803403</v>
      </c>
      <c r="B9" s="12" t="str">
        <f>IFERROR(__xludf.DUMMYFUNCTION("""COMPUTED_VALUE"""),"This article seeks to demonstrate the role that domestic criminal law could play in the regulation of transnational corporations for human rights abuses committed outside their jurisdiction of inco...")</f>
        <v>This article seeks to demonstrate the role that domestic criminal law could play in the regulation of transnational corporations for human rights abuses committed outside their jurisdiction of inco...</v>
      </c>
      <c r="C9" s="7" t="s">
        <v>474</v>
      </c>
      <c r="D9" s="48" t="b">
        <f t="shared" ref="D9:I9" si="22">VLOOKUP($A9, INDIRECT(D$1&amp;"!A:C"), 3, FALSE)</f>
        <v>1</v>
      </c>
      <c r="E9" s="48" t="str">
        <f t="shared" si="22"/>
        <v>TO DO</v>
      </c>
      <c r="F9" s="48" t="b">
        <f t="shared" si="22"/>
        <v>1</v>
      </c>
      <c r="G9" s="48" t="str">
        <f t="shared" si="22"/>
        <v>TO DO</v>
      </c>
      <c r="H9" s="48" t="b">
        <f t="shared" si="22"/>
        <v>1</v>
      </c>
      <c r="I9" s="48" t="b">
        <f t="shared" si="22"/>
        <v>0</v>
      </c>
      <c r="J9" s="49">
        <f t="shared" si="4"/>
        <v>0.5</v>
      </c>
      <c r="K9" s="50" t="str">
        <f t="shared" ref="K9:L9" si="23">VLOOKUP($A9, INDIRECT(K$1&amp;"!A:D"), 4, FALSE)</f>
        <v/>
      </c>
      <c r="L9" s="50" t="str">
        <f t="shared" si="23"/>
        <v/>
      </c>
      <c r="M9" s="50"/>
      <c r="N9" s="50" t="str">
        <f t="shared" ref="N9:P9" si="24">VLOOKUP($A9, INDIRECT(N$1&amp;"!A:D"), 4, FALSE)</f>
        <v/>
      </c>
      <c r="O9" s="50" t="str">
        <f t="shared" si="24"/>
        <v/>
      </c>
      <c r="P9" s="50" t="str">
        <f t="shared" si="24"/>
        <v>fact stating?</v>
      </c>
      <c r="Q9" s="49" t="str">
        <f>IFERROR(__xludf.DUMMYFUNCTION("IF(COUNTA(K9:P9)=0, """", ARRAYFORMULA(""- ""&amp;TEXTJOIN(char(10)&amp;""- "", TRUE, FILTER(K$1:P$1&amp;"": ""&amp;K9:P9, NOT(ISBLANK(K9:P9))))))"),"- Steve: fact stating?")</f>
        <v>- Steve: fact stating?</v>
      </c>
      <c r="R9" s="49" t="s">
        <v>478</v>
      </c>
      <c r="S9" s="51" t="s">
        <v>476</v>
      </c>
    </row>
    <row r="10">
      <c r="A10" s="12" t="str">
        <f>IFERROR(__xludf.DUMMYFUNCTION("""COMPUTED_VALUE"""),"c92697a43755b16eba1c7b3b2bfc0cc7")</f>
        <v>c92697a43755b16eba1c7b3b2bfc0cc7</v>
      </c>
      <c r="B10" s="12" t="str">
        <f>IFERROR(__xludf.DUMMYFUNCTION("""COMPUTED_VALUE"""),"Immigrants perform better in import/export industries than generally in independent business. The usual explanation addresses their overseas social networks. Extensive network connections abroad enable immigrants to reduce the daunting transaction costs t"&amp;"hat otherwise bedevil SMEs in international trade. Accepting that prevailing view, this research obtains evidence regarding the actual social network ties that Iranian immigrant entrepreneurs in Los Angeles had with trading partners abroad. However, inste"&amp;"ad of looking at connections between the Iranians and their homeland, we examined instead their social connections with other locations in the Iranian international diaspora. Although preliminary and sketchy, this evidence tends to confirm the importance "&amp;"of personal social contacts abroad, but it also shows that Iranian traders still reported many collection problems overseas and, as a result, had undertaken legal strategies of self-protection.")</f>
        <v>Immigrants perform better in import/export industries than generally in independent business. The usual explanation addresses their overseas social networks. Extensive network connections abroad enable immigrants to reduce the daunting transaction costs that otherwise bedevil SMEs in international trade. Accepting that prevailing view, this research obtains evidence regarding the actual social network ties that Iranian immigrant entrepreneurs in Los Angeles had with trading partners abroad. However, instead of looking at connections between the Iranians and their homeland, we examined instead their social connections with other locations in the Iranian international diaspora. Although preliminary and sketchy, this evidence tends to confirm the importance of personal social contacts abroad, but it also shows that Iranian traders still reported many collection problems overseas and, as a result, had undertaken legal strategies of self-protection.</v>
      </c>
      <c r="C10" s="48"/>
      <c r="D10" s="48" t="b">
        <f t="shared" ref="D10:I10" si="25">VLOOKUP($A10, INDIRECT(D$1&amp;"!A:C"), 3, FALSE)</f>
        <v>0</v>
      </c>
      <c r="E10" s="48" t="str">
        <f t="shared" si="25"/>
        <v>TO DO</v>
      </c>
      <c r="F10" s="48" t="b">
        <f t="shared" si="25"/>
        <v>0</v>
      </c>
      <c r="G10" s="48" t="str">
        <f t="shared" si="25"/>
        <v>TO DO</v>
      </c>
      <c r="H10" s="48" t="b">
        <f t="shared" si="25"/>
        <v>0</v>
      </c>
      <c r="I10" s="48" t="b">
        <f t="shared" si="25"/>
        <v>0</v>
      </c>
      <c r="J10" s="49">
        <f t="shared" si="4"/>
        <v>1</v>
      </c>
      <c r="K10" s="50" t="str">
        <f t="shared" ref="K10:L10" si="26">VLOOKUP($A10, INDIRECT(K$1&amp;"!A:D"), 4, FALSE)</f>
        <v/>
      </c>
      <c r="L10" s="50" t="str">
        <f t="shared" si="26"/>
        <v/>
      </c>
      <c r="M10" s="50"/>
      <c r="N10" s="50" t="str">
        <f t="shared" ref="N10:P10" si="27">VLOOKUP($A10, INDIRECT(N$1&amp;"!A:D"), 4, FALSE)</f>
        <v/>
      </c>
      <c r="O10" s="50" t="str">
        <f t="shared" si="27"/>
        <v/>
      </c>
      <c r="P10" s="50" t="str">
        <f t="shared" si="27"/>
        <v/>
      </c>
      <c r="Q10" s="49" t="str">
        <f>IFERROR(__xludf.DUMMYFUNCTION("IF(COUNTA(K10:P10)=0, """", ARRAYFORMULA(""- ""&amp;TEXTJOIN(char(10)&amp;""- "", TRUE, FILTER(K$1:P$1&amp;"": ""&amp;K10:P10, NOT(ISBLANK(K10:P10))))))"),"")</f>
        <v/>
      </c>
      <c r="R10" s="49" t="s">
        <v>473</v>
      </c>
      <c r="S10" s="51" t="b">
        <v>0</v>
      </c>
    </row>
    <row r="11">
      <c r="A11" s="12" t="str">
        <f>IFERROR(__xludf.DUMMYFUNCTION("""COMPUTED_VALUE"""),"feb50230bef31ca65e1876d9fe215fd6")</f>
        <v>feb50230bef31ca65e1876d9fe215fd6</v>
      </c>
      <c r="B11" s="12" t="str">
        <f>IFERROR(__xludf.DUMMYFUNCTION("""COMPUTED_VALUE"""),"Gender scholars have argued that legal reforms against violence position women as victims in need of state help. Using data collected from 22 months of participant observation with survivors of domestic violence in India, I urge academics to re-theorize t"&amp;"he relationship between legal reforms and women’s citizenship during an era of neoliberal governance. Burdened with administrative tasks, Indian law enforcement personnel manage new rights claims by displacing regulatory duties onto survivors and casework"&amp;"ers. Women who have access to women’s organizations are able to take advantage of these changes and “save” themselves and other women from violence. This article shows how neoliberal governmentality, when combined with women’s organizing, has the potentia"&amp;"l to restructure women’s relationship to the state.")</f>
        <v>Gender scholars have argued that legal reforms against violence position women as victims in need of state help. Using data collected from 22 months of participant observation with survivors of domestic violence in India, I urge academics to re-theorize the relationship between legal reforms and women’s citizenship during an era of neoliberal governance. Burdened with administrative tasks, Indian law enforcement personnel manage new rights claims by displacing regulatory duties onto survivors and caseworkers. Women who have access to women’s organizations are able to take advantage of these changes and “save” themselves and other women from violence. This article shows how neoliberal governmentality, when combined with women’s organizing, has the potential to restructure women’s relationship to the state.</v>
      </c>
      <c r="C11" s="52"/>
      <c r="D11" s="48" t="b">
        <f t="shared" ref="D11:I11" si="28">VLOOKUP($A11, INDIRECT(D$1&amp;"!A:C"), 3, FALSE)</f>
        <v>1</v>
      </c>
      <c r="E11" s="48" t="str">
        <f t="shared" si="28"/>
        <v>TO DO</v>
      </c>
      <c r="F11" s="48" t="b">
        <f t="shared" si="28"/>
        <v>1</v>
      </c>
      <c r="G11" s="48" t="str">
        <f t="shared" si="28"/>
        <v>TO DO</v>
      </c>
      <c r="H11" s="48" t="b">
        <f t="shared" si="28"/>
        <v>1</v>
      </c>
      <c r="I11" s="48" t="b">
        <f t="shared" si="28"/>
        <v>1</v>
      </c>
      <c r="J11" s="49">
        <f t="shared" si="4"/>
        <v>1</v>
      </c>
      <c r="K11" s="50" t="str">
        <f t="shared" ref="K11:L11" si="29">VLOOKUP($A11, INDIRECT(K$1&amp;"!A:D"), 4, FALSE)</f>
        <v>legal reforms = justice for all</v>
      </c>
      <c r="L11" s="50" t="str">
        <f t="shared" si="29"/>
        <v/>
      </c>
      <c r="M11" s="50"/>
      <c r="N11" s="50" t="str">
        <f t="shared" ref="N11:P11" si="30">VLOOKUP($A11, INDIRECT(N$1&amp;"!A:D"), 4, FALSE)</f>
        <v/>
      </c>
      <c r="O11" s="50" t="str">
        <f t="shared" si="30"/>
        <v/>
      </c>
      <c r="P11" s="50" t="str">
        <f t="shared" si="30"/>
        <v/>
      </c>
      <c r="Q11" s="49" t="str">
        <f>IFERROR(__xludf.DUMMYFUNCTION("IF(COUNTA(K11:P11)=0, """", ARRAYFORMULA(""- ""&amp;TEXTJOIN(char(10)&amp;""- "", TRUE, FILTER(K$1:P$1&amp;"": ""&amp;K11:P11, NOT(ISBLANK(K11:P11))))))"),"- Finn: legal reforms = justice for all")</f>
        <v>- Finn: legal reforms = justice for all</v>
      </c>
      <c r="R11" s="49" t="s">
        <v>479</v>
      </c>
      <c r="S11" s="51" t="b">
        <v>1</v>
      </c>
    </row>
    <row r="12">
      <c r="A12" s="12" t="str">
        <f>IFERROR(__xludf.DUMMYFUNCTION("""COMPUTED_VALUE"""),"686627fde83af94a284f44837410c099")</f>
        <v>686627fde83af94a284f44837410c099</v>
      </c>
      <c r="B12" s="12" t="str">
        <f>IFERROR(__xludf.DUMMYFUNCTION("""COMPUTED_VALUE"""),"AbstractThis article examines the school choices of families who have recently experienced downward mobility during the economic crisis in Spain. Based on semi-structured interviews we analyse the educational strategies of the families in a Bourdieusian f"&amp;"ramework, focusing on how they cope with the loss of their perceived social status. Prior to the crisis, these families of working-class origin improved their social position as a result of their success in economic capital accumulation with a humble incr"&amp;"ease in social and cultural capital. Our research suggests that the concerns of families confronted with downward social mobility are manifested in tensions related to their school choice in terms of their strategies of resistance and negotiation with reg"&amp;"ards to the ownership, social composition and corresponding perceived quality of the school. School can symbolically represent the last resort, an indispensable investment in one’s own future and that of the next generation.")</f>
        <v>AbstractThis article examines the school choices of families who have recently experienced downward mobility during the economic crisis in Spain. Based on semi-structured interviews we analyse the educational strategies of the families in a Bourdieusian framework, focusing on how they cope with the loss of their perceived social status. Prior to the crisis, these families of working-class origin improved their social position as a result of their success in economic capital accumulation with a humble increase in social and cultural capital. Our research suggests that the concerns of families confronted with downward social mobility are manifested in tensions related to their school choice in terms of their strategies of resistance and negotiation with regards to the ownership, social composition and corresponding perceived quality of the school. School can symbolically represent the last resort, an indispensable investment in one’s own future and that of the next generation.</v>
      </c>
      <c r="C12" s="53"/>
      <c r="D12" s="48" t="b">
        <f t="shared" ref="D12:I12" si="31">VLOOKUP($A12, INDIRECT(D$1&amp;"!A:C"), 3, FALSE)</f>
        <v>0</v>
      </c>
      <c r="E12" s="48" t="str">
        <f t="shared" si="31"/>
        <v>TO DO</v>
      </c>
      <c r="F12" s="48" t="b">
        <f t="shared" si="31"/>
        <v>0</v>
      </c>
      <c r="G12" s="48" t="str">
        <f t="shared" si="31"/>
        <v>TO DO</v>
      </c>
      <c r="H12" s="48" t="b">
        <f t="shared" si="31"/>
        <v>0</v>
      </c>
      <c r="I12" s="48" t="b">
        <f t="shared" si="31"/>
        <v>0</v>
      </c>
      <c r="J12" s="49">
        <f t="shared" si="4"/>
        <v>1</v>
      </c>
      <c r="K12" s="50" t="str">
        <f t="shared" ref="K12:L12" si="32">VLOOKUP($A12, INDIRECT(K$1&amp;"!A:D"), 4, FALSE)</f>
        <v/>
      </c>
      <c r="L12" s="50" t="str">
        <f t="shared" si="32"/>
        <v/>
      </c>
      <c r="M12" s="50"/>
      <c r="N12" s="50" t="str">
        <f t="shared" ref="N12:P12" si="33">VLOOKUP($A12, INDIRECT(N$1&amp;"!A:D"), 4, FALSE)</f>
        <v/>
      </c>
      <c r="O12" s="50" t="str">
        <f t="shared" si="33"/>
        <v/>
      </c>
      <c r="P12" s="50" t="str">
        <f t="shared" si="33"/>
        <v/>
      </c>
      <c r="Q12" s="49" t="str">
        <f>IFERROR(__xludf.DUMMYFUNCTION("IF(COUNTA(K12:P12)=0, """", ARRAYFORMULA(""- ""&amp;TEXTJOIN(char(10)&amp;""- "", TRUE, FILTER(K$1:P$1&amp;"": ""&amp;K12:P12, NOT(ISBLANK(K12:P12))))))"),"")</f>
        <v/>
      </c>
      <c r="R12" s="49" t="s">
        <v>473</v>
      </c>
      <c r="S12" s="51" t="b">
        <v>0</v>
      </c>
    </row>
    <row r="13">
      <c r="A13" s="12" t="str">
        <f>IFERROR(__xludf.DUMMYFUNCTION("""COMPUTED_VALUE"""),"904876940d548e70de9658ba9332ca37")</f>
        <v>904876940d548e70de9658ba9332ca37</v>
      </c>
      <c r="B13" s="12" t="str">
        <f>IFERROR(__xludf.DUMMYFUNCTION("""COMPUTED_VALUE"""),"Economic theory suggests that the enhanced product market competition of deregulation reduces employers' ability to discriminate when hiring. Recent studies of the effect of deregulation on racial employment in the naturally competitive trucking industry "&amp;"find that deregulation increased minority employment. This study examines the effect of deregulation on racial employment in the airline industry. Because deregulation transformed airlines from wasteful service competition to rigorous price competition, d"&amp;"eregulation's effect on racial hiring in this continuously competitive industry is not apparent. This study finds that deregulation only modestly changed the racial composition of major airline occupations, which suggests that the change in market structu"&amp;"re as a result of deregulation may largely determine the effect of regulatory reform on the racial composition of an industry. © 2001 by the Association for Public Policy Analysis and Management.")</f>
        <v>Economic theory suggests that the enhanced product market competition of deregulation reduces employers' ability to discriminate when hiring. Recent studies of the effect of deregulation on racial employment in the naturally competitive trucking industry find that deregulation increased minority employment. This study examines the effect of deregulation on racial employment in the airline industry. Because deregulation transformed airlines from wasteful service competition to rigorous price competition, deregulation's effect on racial hiring in this continuously competitive industry is not apparent. This study finds that deregulation only modestly changed the racial composition of major airline occupations, which suggests that the change in market structure as a result of deregulation may largely determine the effect of regulatory reform on the racial composition of an industry. © 2001 by the Association for Public Policy Analysis and Management.</v>
      </c>
      <c r="C13" s="7" t="s">
        <v>474</v>
      </c>
      <c r="D13" s="48" t="b">
        <f t="shared" ref="D13:I13" si="34">VLOOKUP($A13, INDIRECT(D$1&amp;"!A:C"), 3, FALSE)</f>
        <v>0</v>
      </c>
      <c r="E13" s="48" t="str">
        <f t="shared" si="34"/>
        <v>TO DO</v>
      </c>
      <c r="F13" s="48" t="b">
        <f t="shared" si="34"/>
        <v>1</v>
      </c>
      <c r="G13" s="48" t="str">
        <f t="shared" si="34"/>
        <v>TO DO</v>
      </c>
      <c r="H13" s="48" t="b">
        <f t="shared" si="34"/>
        <v>0</v>
      </c>
      <c r="I13" s="48" t="b">
        <f t="shared" si="34"/>
        <v>1</v>
      </c>
      <c r="J13" s="49">
        <f t="shared" si="4"/>
        <v>0</v>
      </c>
      <c r="K13" s="50" t="str">
        <f t="shared" ref="K13:L13" si="35">VLOOKUP($A13, INDIRECT(K$1&amp;"!A:D"), 4, FALSE)</f>
        <v>deregulation = good governance?</v>
      </c>
      <c r="L13" s="50" t="str">
        <f t="shared" si="35"/>
        <v/>
      </c>
      <c r="M13" s="50"/>
      <c r="N13" s="50" t="str">
        <f t="shared" ref="N13:P13" si="36">VLOOKUP($A13, INDIRECT(N$1&amp;"!A:D"), 4, FALSE)</f>
        <v/>
      </c>
      <c r="O13" s="50" t="str">
        <f t="shared" si="36"/>
        <v/>
      </c>
      <c r="P13" s="50" t="str">
        <f t="shared" si="36"/>
        <v>non-discriminatory policies? Though not really towards sustainable development?</v>
      </c>
      <c r="Q13" s="49" t="str">
        <f>IFERROR(__xludf.DUMMYFUNCTION("IF(COUNTA(K13:P13)=0, """", ARRAYFORMULA(""- ""&amp;TEXTJOIN(char(10)&amp;""- "", TRUE, FILTER(K$1:P$1&amp;"": ""&amp;K13:P13, NOT(ISBLANK(K13:P13))))))"),"- Finn: deregulation = good governance?
- Steve: non-discriminatory policies? Though not really towards sustainable development?")</f>
        <v>- Finn: deregulation = good governance?
- Steve: non-discriminatory policies? Though not really towards sustainable development?</v>
      </c>
      <c r="R13" s="49" t="s">
        <v>480</v>
      </c>
      <c r="S13" s="54" t="b">
        <v>1</v>
      </c>
      <c r="T13" s="5" t="s">
        <v>481</v>
      </c>
    </row>
    <row r="14">
      <c r="A14" s="12" t="str">
        <f>IFERROR(__xludf.DUMMYFUNCTION("""COMPUTED_VALUE"""),"32dae308ac24cd9c174ab0fdd1504802")</f>
        <v>32dae308ac24cd9c174ab0fdd1504802</v>
      </c>
      <c r="B14" s="12" t="str">
        <f>IFERROR(__xludf.DUMMYFUNCTION("""COMPUTED_VALUE"""),"Knowledge management (KM) remains an anomaly in most corporations today. Critics call KM a fad of the 1990s, whereas supporters claim KM is actively evolving. Our work examines the disciplinary rhetoric of KM: how is it that practitioners of KM seek to le"&amp;"gitimize their field in the corporate world? We focus on practitioners in the aerospace industry and their forum. We argue that this forum serves as a hub for constructing KM's legitimacy. Our two year ethnography traces the rhetorical strategies utilized"&amp;" by informants in and out of a professional community to legitimize KM as discipline in the aerospace industry.")</f>
        <v>Knowledge management (KM) remains an anomaly in most corporations today. Critics call KM a fad of the 1990s, whereas supporters claim KM is actively evolving. Our work examines the disciplinary rhetoric of KM: how is it that practitioners of KM seek to legitimize their field in the corporate world? We focus on practitioners in the aerospace industry and their forum. We argue that this forum serves as a hub for constructing KM's legitimacy. Our two year ethnography traces the rhetorical strategies utilized by informants in and out of a professional community to legitimize KM as discipline in the aerospace industry.</v>
      </c>
      <c r="C14" s="52"/>
      <c r="D14" s="48" t="b">
        <f t="shared" ref="D14:I14" si="37">VLOOKUP($A14, INDIRECT(D$1&amp;"!A:C"), 3, FALSE)</f>
        <v>0</v>
      </c>
      <c r="E14" s="48" t="str">
        <f t="shared" si="37"/>
        <v>TO DO</v>
      </c>
      <c r="F14" s="48" t="b">
        <f t="shared" si="37"/>
        <v>0</v>
      </c>
      <c r="G14" s="48" t="str">
        <f t="shared" si="37"/>
        <v>TO DO</v>
      </c>
      <c r="H14" s="48" t="b">
        <f t="shared" si="37"/>
        <v>0</v>
      </c>
      <c r="I14" s="48" t="b">
        <f t="shared" si="37"/>
        <v>0</v>
      </c>
      <c r="J14" s="49">
        <f t="shared" si="4"/>
        <v>1</v>
      </c>
      <c r="K14" s="50" t="str">
        <f t="shared" ref="K14:L14" si="38">VLOOKUP($A14, INDIRECT(K$1&amp;"!A:D"), 4, FALSE)</f>
        <v/>
      </c>
      <c r="L14" s="50" t="str">
        <f t="shared" si="38"/>
        <v/>
      </c>
      <c r="M14" s="50"/>
      <c r="N14" s="50" t="str">
        <f t="shared" ref="N14:P14" si="39">VLOOKUP($A14, INDIRECT(N$1&amp;"!A:D"), 4, FALSE)</f>
        <v/>
      </c>
      <c r="O14" s="50" t="str">
        <f t="shared" si="39"/>
        <v/>
      </c>
      <c r="P14" s="50" t="str">
        <f t="shared" si="39"/>
        <v/>
      </c>
      <c r="Q14" s="49" t="str">
        <f>IFERROR(__xludf.DUMMYFUNCTION("IF(COUNTA(K14:P14)=0, """", ARRAYFORMULA(""- ""&amp;TEXTJOIN(char(10)&amp;""- "", TRUE, FILTER(K$1:P$1&amp;"": ""&amp;K14:P14, NOT(ISBLANK(K14:P14))))))"),"")</f>
        <v/>
      </c>
      <c r="R14" s="49" t="s">
        <v>473</v>
      </c>
      <c r="S14" s="51" t="b">
        <v>0</v>
      </c>
    </row>
    <row r="15">
      <c r="A15" s="12" t="str">
        <f>IFERROR(__xludf.DUMMYFUNCTION("""COMPUTED_VALUE"""),"f30f831f54a31c39569c95c499d510c6")</f>
        <v>f30f831f54a31c39569c95c499d510c6</v>
      </c>
      <c r="B15" s="12" t="str">
        <f>IFERROR(__xludf.DUMMYFUNCTION("""COMPUTED_VALUE"""),"The proliferation of large biorepositories and the staggering advances in our ability to analyse large numbers of human genomes relatively quickly and cost-effectively have been important drivers in the move towards personalised medicine. However, our adv"&amp;"ances in the development of these tools have outstripped our performance in addressing the issues of ethics and consent surrounding health policy and governance of such repositories, the implications of proliferation of genomic information for the individ"&amp;"ual and its potential for misuse. Public consultation is urgently needed in the development of ethical guidelines for these emergent issues, however, effective strategies for facilitating community engagement and informed debate have been lacking. Public "&amp;"consultation through deliberative democracy is bringing an essential new dimension to public engagement in the genomic medicine era.")</f>
        <v>The proliferation of large biorepositories and the staggering advances in our ability to analyse large numbers of human genomes relatively quickly and cost-effectively have been important drivers in the move towards personalised medicine. However, our advances in the development of these tools have outstripped our performance in addressing the issues of ethics and consent surrounding health policy and governance of such repositories, the implications of proliferation of genomic information for the individual and its potential for misuse. Public consultation is urgently needed in the development of ethical guidelines for these emergent issues, however, effective strategies for facilitating community engagement and informed debate have been lacking. Public consultation through deliberative democracy is bringing an essential new dimension to public engagement in the genomic medicine era.</v>
      </c>
      <c r="C15" s="53" t="s">
        <v>482</v>
      </c>
      <c r="D15" s="48" t="b">
        <f t="shared" ref="D15:I15" si="40">VLOOKUP($A15, INDIRECT(D$1&amp;"!A:C"), 3, FALSE)</f>
        <v>0</v>
      </c>
      <c r="E15" s="48" t="str">
        <f t="shared" si="40"/>
        <v>TO DO</v>
      </c>
      <c r="F15" s="48" t="str">
        <f t="shared" si="40"/>
        <v>SKIP</v>
      </c>
      <c r="G15" s="48" t="str">
        <f t="shared" si="40"/>
        <v>TO DO</v>
      </c>
      <c r="H15" s="48" t="b">
        <f t="shared" si="40"/>
        <v>1</v>
      </c>
      <c r="I15" s="48" t="b">
        <f t="shared" si="40"/>
        <v>1</v>
      </c>
      <c r="J15" s="49">
        <f t="shared" si="4"/>
        <v>0.25</v>
      </c>
      <c r="K15" s="50" t="str">
        <f t="shared" ref="K15:L15" si="41">VLOOKUP($A15, INDIRECT(K$1&amp;"!A:D"), 4, FALSE)</f>
        <v/>
      </c>
      <c r="L15" s="50" t="str">
        <f t="shared" si="41"/>
        <v/>
      </c>
      <c r="M15" s="50"/>
      <c r="N15" s="50" t="str">
        <f t="shared" ref="N15:P15" si="42">VLOOKUP($A15, INDIRECT(N$1&amp;"!A:D"), 4, FALSE)</f>
        <v/>
      </c>
      <c r="O15" s="50" t="str">
        <f t="shared" si="42"/>
        <v/>
      </c>
      <c r="P15" s="50" t="str">
        <f t="shared" si="42"/>
        <v/>
      </c>
      <c r="Q15" s="49" t="str">
        <f>IFERROR(__xludf.DUMMYFUNCTION("IF(COUNTA(K15:P15)=0, """", ARRAYFORMULA(""- ""&amp;TEXTJOIN(char(10)&amp;""- "", TRUE, FILTER(K$1:P$1&amp;"": ""&amp;K15:P15, NOT(ISBLANK(K15:P15))))))"),"")</f>
        <v/>
      </c>
      <c r="R15" s="49" t="s">
        <v>473</v>
      </c>
      <c r="S15" s="51" t="s">
        <v>476</v>
      </c>
    </row>
    <row r="16">
      <c r="A16" s="12" t="str">
        <f>IFERROR(__xludf.DUMMYFUNCTION("""COMPUTED_VALUE"""),"2dd38ffa80fd1641548cbc3a73cb04fb")</f>
        <v>2dd38ffa80fd1641548cbc3a73cb04fb</v>
      </c>
      <c r="B16" s="12" t="str">
        <f>IFERROR(__xludf.DUMMYFUNCTION("""COMPUTED_VALUE"""),"AbstractIn the context of an increased attention to issues of participation, legitimacy, transparency and accountability in the field of environmental politics and policy, collaborative governance arrangements have been promoted to rearticulate the intera"&amp;"ctions between experts, policy-makers and citizens. This article discusses the relationship between the democratization of environmental governance and the democratization of expertise by focusing on two influential frameworks developed in the field of Sc"&amp;"ience and Technology Studies: the framework of post-normal science, as elaborated by Funtowicz and Ravetz, and the notion of co-production developed by Jasanoff. By discussing in details the original formulations of these concepts, and by reviewing works "&amp;"adopting the two frameworks in the fields of climate science and policy, we discuss their potential contribution to the analysis of the politics of science in the context of environmental policy-making. We suggest that dynamics and outputs of the knowledg"&amp;"...")</f>
        <v>AbstractIn the context of an increased attention to issues of participation, legitimacy, transparency and accountability in the field of environmental politics and policy, collaborative governance arrangements have been promoted to rearticulate the interactions between experts, policy-makers and citizens. This article discusses the relationship between the democratization of environmental governance and the democratization of expertise by focusing on two influential frameworks developed in the field of Science and Technology Studies: the framework of post-normal science, as elaborated by Funtowicz and Ravetz, and the notion of co-production developed by Jasanoff. By discussing in details the original formulations of these concepts, and by reviewing works adopting the two frameworks in the fields of climate science and policy, we discuss their potential contribution to the analysis of the politics of science in the context of environmental policy-making. We suggest that dynamics and outputs of the knowledg...</v>
      </c>
      <c r="C16" s="53" t="s">
        <v>483</v>
      </c>
      <c r="D16" s="48" t="b">
        <f t="shared" ref="D16:I16" si="43">VLOOKUP($A16, INDIRECT(D$1&amp;"!A:C"), 3, FALSE)</f>
        <v>1</v>
      </c>
      <c r="E16" s="48" t="str">
        <f t="shared" si="43"/>
        <v>TO DO</v>
      </c>
      <c r="F16" s="48" t="b">
        <f t="shared" si="43"/>
        <v>1</v>
      </c>
      <c r="G16" s="48" t="str">
        <f t="shared" si="43"/>
        <v>TO DO</v>
      </c>
      <c r="H16" s="48" t="b">
        <f t="shared" si="43"/>
        <v>0</v>
      </c>
      <c r="I16" s="48" t="b">
        <f t="shared" si="43"/>
        <v>1</v>
      </c>
      <c r="J16" s="49">
        <f t="shared" si="4"/>
        <v>0.5</v>
      </c>
      <c r="K16" s="50" t="str">
        <f t="shared" ref="K16:L16" si="44">VLOOKUP($A16, INDIRECT(K$1&amp;"!A:D"), 4, FALSE)</f>
        <v/>
      </c>
      <c r="L16" s="50" t="str">
        <f t="shared" si="44"/>
        <v/>
      </c>
      <c r="M16" s="50"/>
      <c r="N16" s="50" t="str">
        <f t="shared" ref="N16:P16" si="45">VLOOKUP($A16, INDIRECT(N$1&amp;"!A:D"), 4, FALSE)</f>
        <v/>
      </c>
      <c r="O16" s="50" t="str">
        <f t="shared" si="45"/>
        <v/>
      </c>
      <c r="P16" s="50" t="str">
        <f t="shared" si="45"/>
        <v/>
      </c>
      <c r="Q16" s="49" t="str">
        <f>IFERROR(__xludf.DUMMYFUNCTION("IF(COUNTA(K16:P16)=0, """", ARRAYFORMULA(""- ""&amp;TEXTJOIN(char(10)&amp;""- "", TRUE, FILTER(K$1:P$1&amp;"": ""&amp;K16:P16, NOT(ISBLANK(K16:P16))))))"),"")</f>
        <v/>
      </c>
      <c r="R16" s="49" t="s">
        <v>473</v>
      </c>
      <c r="S16" s="54" t="b">
        <v>1</v>
      </c>
      <c r="U16" s="5" t="s">
        <v>484</v>
      </c>
    </row>
    <row r="17">
      <c r="A17" s="12" t="str">
        <f>IFERROR(__xludf.DUMMYFUNCTION("""COMPUTED_VALUE"""),"63f6e6c72e23fab729adea973b8ff281")</f>
        <v>63f6e6c72e23fab729adea973b8ff281</v>
      </c>
      <c r="B17" s="12" t="str">
        <f>IFERROR(__xludf.DUMMYFUNCTION("""COMPUTED_VALUE"""),"Whereas the literature on the democratic peace tends to treat the phenomenon as a causal law, we follow Immanuel Kant in interpreting it as a macro-historical process that expanded from a small number of democracies to about 50% of all states. In order to"&amp;" account for this development, we introduce an agent-based model that combines a natural-selection logic with an adaptive mechanism of regime change. The latter is implemented as an empirically calibrated, contextual rule that prompts democratization as a"&amp;"n S-shaped function of the democratic share of a state's immediate neighborhood. A similar transition rule governs regime change in the opposite direction. The computational results show that regime change and collective security are necessary to produce "&amp;"realistic trajectories of democratization at the systemic level.")</f>
        <v>Whereas the literature on the democratic peace tends to treat the phenomenon as a causal law, we follow Immanuel Kant in interpreting it as a macro-historical process that expanded from a small number of democracies to about 50% of all states. In order to account for this development, we introduce an agent-based model that combines a natural-selection logic with an adaptive mechanism of regime change. The latter is implemented as an empirically calibrated, contextual rule that prompts democratization as an S-shaped function of the democratic share of a state's immediate neighborhood. A similar transition rule governs regime change in the opposite direction. The computational results show that regime change and collective security are necessary to produce realistic trajectories of democratization at the systemic level.</v>
      </c>
      <c r="C17" s="7" t="s">
        <v>474</v>
      </c>
      <c r="D17" s="48" t="b">
        <f t="shared" ref="D17:I17" si="46">VLOOKUP($A17, INDIRECT(D$1&amp;"!A:C"), 3, FALSE)</f>
        <v>1</v>
      </c>
      <c r="E17" s="48" t="str">
        <f t="shared" si="46"/>
        <v>TO DO</v>
      </c>
      <c r="F17" s="48" t="b">
        <f t="shared" si="46"/>
        <v>1</v>
      </c>
      <c r="G17" s="48" t="str">
        <f t="shared" si="46"/>
        <v>TO DO</v>
      </c>
      <c r="H17" s="48" t="b">
        <f t="shared" si="46"/>
        <v>0</v>
      </c>
      <c r="I17" s="48" t="b">
        <f t="shared" si="46"/>
        <v>0</v>
      </c>
      <c r="J17" s="49">
        <f t="shared" si="4"/>
        <v>0</v>
      </c>
      <c r="K17" s="50" t="str">
        <f t="shared" ref="K17:L17" si="47">VLOOKUP($A17, INDIRECT(K$1&amp;"!A:D"), 4, FALSE)</f>
        <v/>
      </c>
      <c r="L17" s="50" t="str">
        <f t="shared" si="47"/>
        <v/>
      </c>
      <c r="M17" s="50"/>
      <c r="N17" s="50" t="str">
        <f t="shared" ref="N17:P17" si="48">VLOOKUP($A17, INDIRECT(N$1&amp;"!A:D"), 4, FALSE)</f>
        <v/>
      </c>
      <c r="O17" s="50" t="str">
        <f t="shared" si="48"/>
        <v/>
      </c>
      <c r="P17" s="50" t="str">
        <f t="shared" si="48"/>
        <v/>
      </c>
      <c r="Q17" s="49" t="str">
        <f>IFERROR(__xludf.DUMMYFUNCTION("IF(COUNTA(K17:P17)=0, """", ARRAYFORMULA(""- ""&amp;TEXTJOIN(char(10)&amp;""- "", TRUE, FILTER(K$1:P$1&amp;"": ""&amp;K17:P17, NOT(ISBLANK(K17:P17))))))"),"")</f>
        <v/>
      </c>
      <c r="R17" s="49" t="s">
        <v>473</v>
      </c>
      <c r="S17" s="51" t="s">
        <v>476</v>
      </c>
    </row>
    <row r="18">
      <c r="A18" s="12" t="str">
        <f>IFERROR(__xludf.DUMMYFUNCTION("""COMPUTED_VALUE"""),"bbc280f03b8d7d8a739cf06159f054c9")</f>
        <v>bbc280f03b8d7d8a739cf06159f054c9</v>
      </c>
      <c r="B18" s="12" t="str">
        <f>IFERROR(__xludf.DUMMYFUNCTION("""COMPUTED_VALUE"""),"The article delineates the shifting forms of minority governance that took shape after 1989 in solving Roma related affairs and its ambiguous effects on the ground. I argue that, after 1989, the new social and public policies adopted a more neoliberal tre"&amp;"nd in solving Romani affairs through processes of decentralization, public-private partnerships and mobilization of civil society (Roma) organizations as key tools for empowering and social inclusion of Romani communities, abandoning old governmental prog"&amp;"rams focused on discipline, control and policing. However, as we will see in the Romanian case, these processes and policies had ambiguous effects and often have gone together with a diminishing of democratic accountability and control of Roma related aff"&amp;"airs by state/public institutions and with the devolution of responsibilities to non-governmental and human rights organizations, Roma representatives from public institutions and communities themselves (see also van Baar 2011a).")</f>
        <v>The article delineates the shifting forms of minority governance that took shape after 1989 in solving Roma related affairs and its ambiguous effects on the ground. I argue that, after 1989, the new social and public policies adopted a more neoliberal trend in solving Romani affairs through processes of decentralization, public-private partnerships and mobilization of civil society (Roma) organizations as key tools for empowering and social inclusion of Romani communities, abandoning old governmental programs focused on discipline, control and policing. However, as we will see in the Romanian case, these processes and policies had ambiguous effects and often have gone together with a diminishing of democratic accountability and control of Roma related affairs by state/public institutions and with the devolution of responsibilities to non-governmental and human rights organizations, Roma representatives from public institutions and communities themselves (see also van Baar 2011a).</v>
      </c>
      <c r="C18" s="7"/>
      <c r="D18" s="48" t="b">
        <f t="shared" ref="D18:I18" si="49">VLOOKUP($A18, INDIRECT(D$1&amp;"!A:C"), 3, FALSE)</f>
        <v>1</v>
      </c>
      <c r="E18" s="48" t="str">
        <f t="shared" si="49"/>
        <v>TO DO</v>
      </c>
      <c r="F18" s="48" t="b">
        <f t="shared" si="49"/>
        <v>1</v>
      </c>
      <c r="G18" s="48" t="str">
        <f t="shared" si="49"/>
        <v>TO DO</v>
      </c>
      <c r="H18" s="48" t="b">
        <f t="shared" si="49"/>
        <v>1</v>
      </c>
      <c r="I18" s="48" t="b">
        <f t="shared" si="49"/>
        <v>1</v>
      </c>
      <c r="J18" s="49">
        <f t="shared" si="4"/>
        <v>1</v>
      </c>
      <c r="K18" s="50" t="str">
        <f t="shared" ref="K18:L18" si="50">VLOOKUP($A18, INDIRECT(K$1&amp;"!A:D"), 4, FALSE)</f>
        <v/>
      </c>
      <c r="L18" s="50" t="str">
        <f t="shared" si="50"/>
        <v/>
      </c>
      <c r="M18" s="50"/>
      <c r="N18" s="50" t="str">
        <f t="shared" ref="N18:P18" si="51">VLOOKUP($A18, INDIRECT(N$1&amp;"!A:D"), 4, FALSE)</f>
        <v/>
      </c>
      <c r="O18" s="50" t="str">
        <f t="shared" si="51"/>
        <v/>
      </c>
      <c r="P18" s="50" t="str">
        <f t="shared" si="51"/>
        <v/>
      </c>
      <c r="Q18" s="49" t="str">
        <f>IFERROR(__xludf.DUMMYFUNCTION("IF(COUNTA(K18:P18)=0, """", ARRAYFORMULA(""- ""&amp;TEXTJOIN(char(10)&amp;""- "", TRUE, FILTER(K$1:P$1&amp;"": ""&amp;K18:P18, NOT(ISBLANK(K18:P18))))))"),"")</f>
        <v/>
      </c>
      <c r="R18" s="49" t="s">
        <v>473</v>
      </c>
      <c r="S18" s="51" t="b">
        <v>1</v>
      </c>
    </row>
    <row r="19">
      <c r="A19" s="12" t="str">
        <f>IFERROR(__xludf.DUMMYFUNCTION("""COMPUTED_VALUE"""),"1a889c380be07883b432d676b3789c0b")</f>
        <v>1a889c380be07883b432d676b3789c0b</v>
      </c>
      <c r="B19" s="12" t="str">
        <f>IFERROR(__xludf.DUMMYFUNCTION("""COMPUTED_VALUE"""),"Feminist environmentalism has become a significant intellectual and social policy force across fields as diverse as public health, political economy, philosophy, science, and ecology. Feminist environmental theory and activism together are challenging and"&amp;" redefining foundational principles, from animal rights to the environmental economy of illness and well-being, from global political economy to the role of Big Science as the primary arbiter of the state of the environment. Animal rights is one of the mo"&amp;"st intellectually challenging and innovative areas of intellectual activity and social activism, and within feminist environmentalism is one of the most radical subfields. This paper provides an overview of activity in this subfield, starting from the obs"&amp;"ervation that feminist environmental scholarship and grassroots activism on animal rights pivot around three concerns: elucidating the commonalities in structures of oppressions across gender, race, class, and species, developing feminist-informed theorie"&amp;"...")</f>
        <v>Feminist environmentalism has become a significant intellectual and social policy force across fields as diverse as public health, political economy, philosophy, science, and ecology. Feminist environmental theory and activism together are challenging and redefining foundational principles, from animal rights to the environmental economy of illness and well-being, from global political economy to the role of Big Science as the primary arbiter of the state of the environment. Animal rights is one of the most intellectually challenging and innovative areas of intellectual activity and social activism, and within feminist environmentalism is one of the most radical subfields. This paper provides an overview of activity in this subfield, starting from the observation that feminist environmental scholarship and grassroots activism on animal rights pivot around three concerns: elucidating the commonalities in structures of oppressions across gender, race, class, and species, developing feminist-informed theorie...</v>
      </c>
      <c r="C19" s="7" t="s">
        <v>483</v>
      </c>
      <c r="D19" s="48" t="b">
        <f t="shared" ref="D19:I19" si="52">VLOOKUP($A19, INDIRECT(D$1&amp;"!A:C"), 3, FALSE)</f>
        <v>0</v>
      </c>
      <c r="E19" s="48" t="str">
        <f t="shared" si="52"/>
        <v>TO DO</v>
      </c>
      <c r="F19" s="48" t="b">
        <f t="shared" si="52"/>
        <v>0</v>
      </c>
      <c r="G19" s="48" t="str">
        <f t="shared" si="52"/>
        <v>TO DO</v>
      </c>
      <c r="H19" s="48" t="b">
        <f t="shared" si="52"/>
        <v>1</v>
      </c>
      <c r="I19" s="48" t="b">
        <f t="shared" si="52"/>
        <v>0</v>
      </c>
      <c r="J19" s="49">
        <f t="shared" si="4"/>
        <v>0.5</v>
      </c>
      <c r="K19" s="50" t="str">
        <f t="shared" ref="K19:L19" si="53">VLOOKUP($A19, INDIRECT(K$1&amp;"!A:D"), 4, FALSE)</f>
        <v/>
      </c>
      <c r="L19" s="50" t="str">
        <f t="shared" si="53"/>
        <v/>
      </c>
      <c r="M19" s="50"/>
      <c r="N19" s="50" t="str">
        <f t="shared" ref="N19:P19" si="54">VLOOKUP($A19, INDIRECT(N$1&amp;"!A:D"), 4, FALSE)</f>
        <v/>
      </c>
      <c r="O19" s="50" t="str">
        <f t="shared" si="54"/>
        <v/>
      </c>
      <c r="P19" s="50" t="str">
        <f t="shared" si="54"/>
        <v/>
      </c>
      <c r="Q19" s="49" t="str">
        <f>IFERROR(__xludf.DUMMYFUNCTION("IF(COUNTA(K19:P19)=0, """", ARRAYFORMULA(""- ""&amp;TEXTJOIN(char(10)&amp;""- "", TRUE, FILTER(K$1:P$1&amp;"": ""&amp;K19:P19, NOT(ISBLANK(K19:P19))))))"),"")</f>
        <v/>
      </c>
      <c r="R19" s="49" t="s">
        <v>473</v>
      </c>
      <c r="S19" s="51" t="s">
        <v>476</v>
      </c>
    </row>
    <row r="20">
      <c r="A20" s="12" t="str">
        <f>IFERROR(__xludf.DUMMYFUNCTION("""COMPUTED_VALUE"""),"4d3bec269efa8c93a5f901b95d5642af")</f>
        <v>4d3bec269efa8c93a5f901b95d5642af</v>
      </c>
      <c r="B20" s="12" t="str">
        <f>IFERROR(__xludf.DUMMYFUNCTION("""COMPUTED_VALUE"""),"In July 1963, students from Queens College (QC) and a group of New York City teachers traveled to Prince Edward County (PEC), Virginia, to teach local black youth in Freedom Schools. The county had eliminated public education four years earlier to avoid a"&amp;" desegregation order. PEC Freedom Schools represented the first major effort to recruit an integrated group of outside teachers and students to educate black students in a civil rights battleground over an entire summer. In contrast to the racial and clas"&amp;"s tensions that arose between black leaders and predominantly white volunteers in other civil rights campaigns, PEC volunteers willingly deferred to the expertise of local and outside black leaders. This paper identifies the relatively modest scope and we"&amp;"ll-defined mission of the program, the real-world experiences of volunteers, and the high quality of black leadership as factors that led to this positive outcome.")</f>
        <v>In July 1963, students from Queens College (QC) and a group of New York City teachers traveled to Prince Edward County (PEC), Virginia, to teach local black youth in Freedom Schools. The county had eliminated public education four years earlier to avoid a desegregation order. PEC Freedom Schools represented the first major effort to recruit an integrated group of outside teachers and students to educate black students in a civil rights battleground over an entire summer. In contrast to the racial and class tensions that arose between black leaders and predominantly white volunteers in other civil rights campaigns, PEC volunteers willingly deferred to the expertise of local and outside black leaders. This paper identifies the relatively modest scope and well-defined mission of the program, the real-world experiences of volunteers, and the high quality of black leadership as factors that led to this positive outcome.</v>
      </c>
      <c r="C20" s="7" t="s">
        <v>483</v>
      </c>
      <c r="D20" s="48" t="b">
        <f t="shared" ref="D20:I20" si="55">VLOOKUP($A20, INDIRECT(D$1&amp;"!A:C"), 3, FALSE)</f>
        <v>1</v>
      </c>
      <c r="E20" s="48" t="str">
        <f t="shared" si="55"/>
        <v>TO DO</v>
      </c>
      <c r="F20" s="48" t="b">
        <f t="shared" si="55"/>
        <v>0</v>
      </c>
      <c r="G20" s="48" t="str">
        <f t="shared" si="55"/>
        <v>TO DO</v>
      </c>
      <c r="H20" s="48" t="b">
        <f t="shared" si="55"/>
        <v>0</v>
      </c>
      <c r="I20" s="48" t="b">
        <f t="shared" si="55"/>
        <v>0</v>
      </c>
      <c r="J20" s="49">
        <f t="shared" si="4"/>
        <v>0.5</v>
      </c>
      <c r="K20" s="50" t="str">
        <f t="shared" ref="K20:L20" si="56">VLOOKUP($A20, INDIRECT(K$1&amp;"!A:D"), 4, FALSE)</f>
        <v/>
      </c>
      <c r="L20" s="50" t="str">
        <f t="shared" si="56"/>
        <v/>
      </c>
      <c r="M20" s="50"/>
      <c r="N20" s="50" t="str">
        <f t="shared" ref="N20:P20" si="57">VLOOKUP($A20, INDIRECT(N$1&amp;"!A:D"), 4, FALSE)</f>
        <v/>
      </c>
      <c r="O20" s="50" t="str">
        <f t="shared" si="57"/>
        <v/>
      </c>
      <c r="P20" s="50" t="str">
        <f t="shared" si="57"/>
        <v>more on access to education</v>
      </c>
      <c r="Q20" s="49" t="str">
        <f>IFERROR(__xludf.DUMMYFUNCTION("IF(COUNTA(K20:P20)=0, """", ARRAYFORMULA(""- ""&amp;TEXTJOIN(char(10)&amp;""- "", TRUE, FILTER(K$1:P$1&amp;"": ""&amp;K20:P20, NOT(ISBLANK(K20:P20))))))"),"- Steve: more on access to education")</f>
        <v>- Steve: more on access to education</v>
      </c>
      <c r="R20" s="49" t="s">
        <v>485</v>
      </c>
      <c r="S20" s="51" t="s">
        <v>476</v>
      </c>
    </row>
    <row r="21">
      <c r="A21" s="12" t="str">
        <f>IFERROR(__xludf.DUMMYFUNCTION("""COMPUTED_VALUE"""),"589dcd3f6e3e218ea7a4bee972390af2")</f>
        <v>589dcd3f6e3e218ea7a4bee972390af2</v>
      </c>
      <c r="B21" s="12" t="str">
        <f>IFERROR(__xludf.DUMMYFUNCTION("""COMPUTED_VALUE"""),"Sociological approaches to the social control of sickness have tended to focus on medicalization or the process through which social phenomena come to be regulated by medicine. Much less is known about how social problems historically understood as medica"&amp;"l come to be governed by the criminal law, or what I term the ""criminalization of sickness."" Thirty three US states have enacted criminal statutes that require all HIV-positive individuals to disclose their infection before engaging in a wide range of s"&amp;"exual practices. Drawing on evidence from 58 felony nondisclosure convictions in Michigan (95% of all convictions between 1992 and 2010), I argue that the enforcement of the state's HIV disclosure law is not driven by medical concerns or public health con"&amp;"siderations. Rather, it reflects pervasive moralizing narratives that frame HIV as a moral infection requiring interdiction and punishment.")</f>
        <v>Sociological approaches to the social control of sickness have tended to focus on medicalization or the process through which social phenomena come to be regulated by medicine. Much less is known about how social problems historically understood as medical come to be governed by the criminal law, or what I term the "criminalization of sickness." Thirty three US states have enacted criminal statutes that require all HIV-positive individuals to disclose their infection before engaging in a wide range of sexual practices. Drawing on evidence from 58 felony nondisclosure convictions in Michigan (95% of all convictions between 1992 and 2010), I argue that the enforcement of the state's HIV disclosure law is not driven by medical concerns or public health considerations. Rather, it reflects pervasive moralizing narratives that frame HIV as a moral infection requiring interdiction and punishment.</v>
      </c>
      <c r="C21" s="7" t="s">
        <v>474</v>
      </c>
      <c r="D21" s="48" t="b">
        <f t="shared" ref="D21:I21" si="58">VLOOKUP($A21, INDIRECT(D$1&amp;"!A:C"), 3, FALSE)</f>
        <v>1</v>
      </c>
      <c r="E21" s="48" t="str">
        <f t="shared" si="58"/>
        <v>TO DO</v>
      </c>
      <c r="F21" s="48" t="b">
        <f t="shared" si="58"/>
        <v>0</v>
      </c>
      <c r="G21" s="48" t="str">
        <f t="shared" si="58"/>
        <v>TO DO</v>
      </c>
      <c r="H21" s="48" t="b">
        <f t="shared" si="58"/>
        <v>1</v>
      </c>
      <c r="I21" s="48" t="b">
        <f t="shared" si="58"/>
        <v>0</v>
      </c>
      <c r="J21" s="49">
        <f t="shared" si="4"/>
        <v>0</v>
      </c>
      <c r="K21" s="50" t="str">
        <f t="shared" ref="K21:L21" si="59">VLOOKUP($A21, INDIRECT(K$1&amp;"!A:D"), 4, FALSE)</f>
        <v/>
      </c>
      <c r="L21" s="50" t="str">
        <f t="shared" si="59"/>
        <v/>
      </c>
      <c r="M21" s="50"/>
      <c r="N21" s="50" t="str">
        <f t="shared" ref="N21:P21" si="60">VLOOKUP($A21, INDIRECT(N$1&amp;"!A:D"), 4, FALSE)</f>
        <v/>
      </c>
      <c r="O21" s="50" t="str">
        <f t="shared" si="60"/>
        <v/>
      </c>
      <c r="P21" s="50" t="str">
        <f t="shared" si="60"/>
        <v>inclusive policies? Non-discrimanatory?</v>
      </c>
      <c r="Q21" s="49" t="str">
        <f>IFERROR(__xludf.DUMMYFUNCTION("IF(COUNTA(K21:P21)=0, """", ARRAYFORMULA(""- ""&amp;TEXTJOIN(char(10)&amp;""- "", TRUE, FILTER(K$1:P$1&amp;"": ""&amp;K21:P21, NOT(ISBLANK(K21:P21))))))"),"- Steve: inclusive policies? Non-discrimanatory?")</f>
        <v>- Steve: inclusive policies? Non-discrimanatory?</v>
      </c>
      <c r="R21" s="49" t="s">
        <v>486</v>
      </c>
      <c r="S21" s="51" t="s">
        <v>476</v>
      </c>
    </row>
    <row r="22">
      <c r="A22" s="12" t="str">
        <f>IFERROR(__xludf.DUMMYFUNCTION("""COMPUTED_VALUE"""),"05b26e60f694c7dcaa57b23bd56c2c24")</f>
        <v>05b26e60f694c7dcaa57b23bd56c2c24</v>
      </c>
      <c r="B22" s="12" t="str">
        <f>IFERROR(__xludf.DUMMYFUNCTION("""COMPUTED_VALUE"""),"Emotions have remained under-addressed in scholarship on public memorial art, particularly with sexuality content. This case study on the Amsterdam-based Homomonument attends to this gap by differentiating emotions according to multi-scalar, multi-tempora"&amp;"l and multi-semiotic dimensions of everyday lived experiences of sexual citizenship. Based on discourse analysis of secondary materials and social media coverage, supplemented with auto-ethnographic experience, the study explores how present-day feelings "&amp;"of respect, agitation and celebration about Homomonument are mediated at intersecting levels of the body, local community, broader society and emergent virtual community spaces particularly. Such understanding requires critical interfaces with reminiscenc"&amp;"es, contemporary values and normativities, and future imaginaries. Specifically, this paper puts in perspective how Homomonument operates as queer micropublic: a space for intercultural encounter and ‘queerying’ sexual difference. This appears to be a mul"&amp;"tifaceted meaningful process, too: Homomonument ambiguously holds contesting, reconciling, indifferent and empathic sentiments alongside belongings and sexual identity expressions in quotidian life.")</f>
        <v>Emotions have remained under-addressed in scholarship on public memorial art, particularly with sexuality content. This case study on the Amsterdam-based Homomonument attends to this gap by differentiating emotions according to multi-scalar, multi-temporal and multi-semiotic dimensions of everyday lived experiences of sexual citizenship. Based on discourse analysis of secondary materials and social media coverage, supplemented with auto-ethnographic experience, the study explores how present-day feelings of respect, agitation and celebration about Homomonument are mediated at intersecting levels of the body, local community, broader society and emergent virtual community spaces particularly. Such understanding requires critical interfaces with reminiscences, contemporary values and normativities, and future imaginaries. Specifically, this paper puts in perspective how Homomonument operates as queer micropublic: a space for intercultural encounter and ‘queerying’ sexual difference. This appears to be a multifaceted meaningful process, too: Homomonument ambiguously holds contesting, reconciling, indifferent and empathic sentiments alongside belongings and sexual identity expressions in quotidian life.</v>
      </c>
      <c r="C22" s="53"/>
      <c r="D22" s="48" t="b">
        <f t="shared" ref="D22:I22" si="61">VLOOKUP($A22, INDIRECT(D$1&amp;"!A:C"), 3, FALSE)</f>
        <v>0</v>
      </c>
      <c r="E22" s="48" t="str">
        <f t="shared" si="61"/>
        <v>TO DO</v>
      </c>
      <c r="F22" s="48" t="b">
        <f t="shared" si="61"/>
        <v>0</v>
      </c>
      <c r="G22" s="48" t="str">
        <f t="shared" si="61"/>
        <v>TO DO</v>
      </c>
      <c r="H22" s="48" t="b">
        <f t="shared" si="61"/>
        <v>0</v>
      </c>
      <c r="I22" s="48" t="b">
        <f t="shared" si="61"/>
        <v>0</v>
      </c>
      <c r="J22" s="49">
        <f t="shared" si="4"/>
        <v>1</v>
      </c>
      <c r="K22" s="50" t="str">
        <f t="shared" ref="K22:L22" si="62">VLOOKUP($A22, INDIRECT(K$1&amp;"!A:D"), 4, FALSE)</f>
        <v/>
      </c>
      <c r="L22" s="50" t="str">
        <f t="shared" si="62"/>
        <v/>
      </c>
      <c r="M22" s="50"/>
      <c r="N22" s="50" t="str">
        <f t="shared" ref="N22:P22" si="63">VLOOKUP($A22, INDIRECT(N$1&amp;"!A:D"), 4, FALSE)</f>
        <v/>
      </c>
      <c r="O22" s="50" t="str">
        <f t="shared" si="63"/>
        <v/>
      </c>
      <c r="P22" s="50" t="str">
        <f t="shared" si="63"/>
        <v/>
      </c>
      <c r="Q22" s="49" t="str">
        <f>IFERROR(__xludf.DUMMYFUNCTION("IF(COUNTA(K22:P22)=0, """", ARRAYFORMULA(""- ""&amp;TEXTJOIN(char(10)&amp;""- "", TRUE, FILTER(K$1:P$1&amp;"": ""&amp;K22:P22, NOT(ISBLANK(K22:P22))))))"),"")</f>
        <v/>
      </c>
      <c r="R22" s="49" t="s">
        <v>473</v>
      </c>
      <c r="S22" s="51" t="b">
        <v>0</v>
      </c>
    </row>
    <row r="23">
      <c r="A23" s="12" t="str">
        <f>IFERROR(__xludf.DUMMYFUNCTION("""COMPUTED_VALUE"""),"6baf0d4a2318c8b46c975eebe132a47f")</f>
        <v>6baf0d4a2318c8b46c975eebe132a47f</v>
      </c>
      <c r="B23" s="12" t="str">
        <f>IFERROR(__xludf.DUMMYFUNCTION("""COMPUTED_VALUE"""),"During the second half of the XVIII Century, close to the structural changes generated by the Borbons’ reforming institution, there appeared new social control mechanisms that tried to hold individuals so as to assign them a role within a circle of civil "&amp;"institutions with persuasive, preventive and and/or coercive character. Cordoba del Tucuman jurisdiction, the southernmost of the Empire at that time, was also subjected to the impositions of these mechanisms, implemented by its first Governor, Mayor Rafa"&amp;"el de Sobremonte since 1785. This paper will enquire into the characteristics these mechanisms acquired as regards women in Cordoba del Tucuman under the goverment of Mayor Rafael de Sobremonte since 1785.")</f>
        <v>During the second half of the XVIII Century, close to the structural changes generated by the Borbons’ reforming institution, there appeared new social control mechanisms that tried to hold individuals so as to assign them a role within a circle of civil institutions with persuasive, preventive and and/or coercive character. Cordoba del Tucuman jurisdiction, the southernmost of the Empire at that time, was also subjected to the impositions of these mechanisms, implemented by its first Governor, Mayor Rafael de Sobremonte since 1785. This paper will enquire into the characteristics these mechanisms acquired as regards women in Cordoba del Tucuman under the goverment of Mayor Rafael de Sobremonte since 1785.</v>
      </c>
      <c r="C23" s="7" t="s">
        <v>487</v>
      </c>
      <c r="D23" s="48" t="str">
        <f t="shared" ref="D23:I23" si="64">VLOOKUP($A23, INDIRECT(D$1&amp;"!A:C"), 3, FALSE)</f>
        <v>SKIP</v>
      </c>
      <c r="E23" s="48" t="str">
        <f t="shared" si="64"/>
        <v>TO DO</v>
      </c>
      <c r="F23" s="48" t="b">
        <f t="shared" si="64"/>
        <v>0</v>
      </c>
      <c r="G23" s="48" t="str">
        <f t="shared" si="64"/>
        <v>TO DO</v>
      </c>
      <c r="H23" s="48" t="b">
        <f t="shared" si="64"/>
        <v>0</v>
      </c>
      <c r="I23" s="48" t="b">
        <f t="shared" si="64"/>
        <v>0</v>
      </c>
      <c r="J23" s="49">
        <f t="shared" si="4"/>
        <v>0.75</v>
      </c>
      <c r="K23" s="50" t="str">
        <f t="shared" ref="K23:L23" si="65">VLOOKUP($A23, INDIRECT(K$1&amp;"!A:D"), 4, FALSE)</f>
        <v/>
      </c>
      <c r="L23" s="50" t="str">
        <f t="shared" si="65"/>
        <v/>
      </c>
      <c r="M23" s="50"/>
      <c r="N23" s="50" t="str">
        <f t="shared" ref="N23:P23" si="66">VLOOKUP($A23, INDIRECT(N$1&amp;"!A:D"), 4, FALSE)</f>
        <v/>
      </c>
      <c r="O23" s="50" t="str">
        <f t="shared" si="66"/>
        <v/>
      </c>
      <c r="P23" s="50" t="str">
        <f t="shared" si="66"/>
        <v/>
      </c>
      <c r="Q23" s="49" t="str">
        <f>IFERROR(__xludf.DUMMYFUNCTION("IF(COUNTA(K23:P23)=0, """", ARRAYFORMULA(""- ""&amp;TEXTJOIN(char(10)&amp;""- "", TRUE, FILTER(K$1:P$1&amp;"": ""&amp;K23:P23, NOT(ISBLANK(K23:P23))))))"),"")</f>
        <v/>
      </c>
      <c r="R23" s="49" t="s">
        <v>473</v>
      </c>
      <c r="S23" s="54" t="b">
        <v>0</v>
      </c>
      <c r="T23" s="5" t="s">
        <v>488</v>
      </c>
    </row>
    <row r="24">
      <c r="A24" s="12" t="str">
        <f>IFERROR(__xludf.DUMMYFUNCTION("""COMPUTED_VALUE"""),"6c64a74b23d331b3690e08f37dfb58f6")</f>
        <v>6c64a74b23d331b3690e08f37dfb58f6</v>
      </c>
      <c r="B24" s="12" t="str">
        <f>IFERROR(__xludf.DUMMYFUNCTION("""COMPUTED_VALUE"""),"Critical and systemic thinking and practice can be used as a vehicle for governance to address knowledge and its implications for those who are excluded from the protection of nationality, citizenship, human rights and animal rights (by virtue of their ag"&amp;"e, their place of birth, their gender, level of education, income, ability or species). The way to achieve sustainable governance is to enable decision makers to become more mindful or more conscious of the implications of their decisions. Once it is real"&amp;"ized that idealism and pragmatism are one, because of the ‘boomerang affect’ (Beck, 1992) of social and environmental injustice, greater progress towards sustainable futures can be achieved. This paper based on a manuscript argues for participatory govern"&amp;"ance that appreciates diversity to the extent that it supports sustainable social and environmental futures. It confronts terrorism, hegemony and cruelty as challenges for systemic, sustainable governance and international relations.")</f>
        <v>Critical and systemic thinking and practice can be used as a vehicle for governance to address knowledge and its implications for those who are excluded from the protection of nationality, citizenship, human rights and animal rights (by virtue of their age, their place of birth, their gender, level of education, income, ability or species). The way to achieve sustainable governance is to enable decision makers to become more mindful or more conscious of the implications of their decisions. Once it is realized that idealism and pragmatism are one, because of the ‘boomerang affect’ (Beck, 1992) of social and environmental injustice, greater progress towards sustainable futures can be achieved. This paper based on a manuscript argues for participatory governance that appreciates diversity to the extent that it supports sustainable social and environmental futures. It confronts terrorism, hegemony and cruelty as challenges for systemic, sustainable governance and international relations.</v>
      </c>
      <c r="C24" s="48"/>
      <c r="D24" s="48" t="b">
        <f t="shared" ref="D24:I24" si="67">VLOOKUP($A24, INDIRECT(D$1&amp;"!A:C"), 3, FALSE)</f>
        <v>1</v>
      </c>
      <c r="E24" s="48" t="str">
        <f t="shared" si="67"/>
        <v>TO DO</v>
      </c>
      <c r="F24" s="48" t="b">
        <f t="shared" si="67"/>
        <v>1</v>
      </c>
      <c r="G24" s="48" t="str">
        <f t="shared" si="67"/>
        <v>TO DO</v>
      </c>
      <c r="H24" s="48" t="b">
        <f t="shared" si="67"/>
        <v>1</v>
      </c>
      <c r="I24" s="48" t="b">
        <f t="shared" si="67"/>
        <v>1</v>
      </c>
      <c r="J24" s="49">
        <f t="shared" si="4"/>
        <v>1</v>
      </c>
      <c r="K24" s="50" t="str">
        <f t="shared" ref="K24:L24" si="68">VLOOKUP($A24, INDIRECT(K$1&amp;"!A:D"), 4, FALSE)</f>
        <v/>
      </c>
      <c r="L24" s="50" t="str">
        <f t="shared" si="68"/>
        <v/>
      </c>
      <c r="M24" s="50"/>
      <c r="N24" s="50" t="str">
        <f t="shared" ref="N24:P24" si="69">VLOOKUP($A24, INDIRECT(N$1&amp;"!A:D"), 4, FALSE)</f>
        <v/>
      </c>
      <c r="O24" s="50" t="str">
        <f t="shared" si="69"/>
        <v/>
      </c>
      <c r="P24" s="50" t="str">
        <f t="shared" si="69"/>
        <v/>
      </c>
      <c r="Q24" s="49" t="str">
        <f>IFERROR(__xludf.DUMMYFUNCTION("IF(COUNTA(K24:P24)=0, """", ARRAYFORMULA(""- ""&amp;TEXTJOIN(char(10)&amp;""- "", TRUE, FILTER(K$1:P$1&amp;"": ""&amp;K24:P24, NOT(ISBLANK(K24:P24))))))"),"")</f>
        <v/>
      </c>
      <c r="R24" s="49" t="s">
        <v>473</v>
      </c>
      <c r="S24" s="51" t="b">
        <v>1</v>
      </c>
    </row>
    <row r="25">
      <c r="A25" s="12" t="str">
        <f>IFERROR(__xludf.DUMMYFUNCTION("""COMPUTED_VALUE"""),"d127943159e0c470639f136d22059a04")</f>
        <v>d127943159e0c470639f136d22059a04</v>
      </c>
      <c r="B25" s="12" t="str">
        <f>IFERROR(__xludf.DUMMYFUNCTION("""COMPUTED_VALUE"""),"Humanity is radically and pervasively interdependent. Catholic social teaching uses solidarity as the lens through which to critically examine our interdependence. Solidarity is multifaceted, at once a feeling, an attitude, and a duty, with each of these "&amp;"building to culminate in the virtue. How is solidarity a virtue? What are the habits and practices by which it is cultivated? To whom does it apply? And what, if any, are corresponding vices? This article proposes that solidarity is both an individual vir"&amp;"tue and a social virtue. By offering an examination of the anatomy of this social virtue, this article will propose the scope and boundaries of solidarity, corresponding sets of vices for this virtue, and the cultivation of this virtue by communities thro"&amp;"ugh practicing respect for human rights.")</f>
        <v>Humanity is radically and pervasively interdependent. Catholic social teaching uses solidarity as the lens through which to critically examine our interdependence. Solidarity is multifaceted, at once a feeling, an attitude, and a duty, with each of these building to culminate in the virtue. How is solidarity a virtue? What are the habits and practices by which it is cultivated? To whom does it apply? And what, if any, are corresponding vices? This article proposes that solidarity is both an individual virtue and a social virtue. By offering an examination of the anatomy of this social virtue, this article will propose the scope and boundaries of solidarity, corresponding sets of vices for this virtue, and the cultivation of this virtue by communities through practicing respect for human rights.</v>
      </c>
      <c r="C25" s="53" t="s">
        <v>483</v>
      </c>
      <c r="D25" s="48" t="b">
        <f t="shared" ref="D25:I25" si="70">VLOOKUP($A25, INDIRECT(D$1&amp;"!A:C"), 3, FALSE)</f>
        <v>0</v>
      </c>
      <c r="E25" s="48" t="str">
        <f t="shared" si="70"/>
        <v>TO DO</v>
      </c>
      <c r="F25" s="48" t="b">
        <f t="shared" si="70"/>
        <v>0</v>
      </c>
      <c r="G25" s="48" t="str">
        <f t="shared" si="70"/>
        <v>TO DO</v>
      </c>
      <c r="H25" s="48" t="b">
        <f t="shared" si="70"/>
        <v>1</v>
      </c>
      <c r="I25" s="48" t="b">
        <f t="shared" si="70"/>
        <v>0</v>
      </c>
      <c r="J25" s="49">
        <f t="shared" si="4"/>
        <v>0.5</v>
      </c>
      <c r="K25" s="50" t="str">
        <f t="shared" ref="K25:L25" si="71">VLOOKUP($A25, INDIRECT(K$1&amp;"!A:D"), 4, FALSE)</f>
        <v/>
      </c>
      <c r="L25" s="50" t="str">
        <f t="shared" si="71"/>
        <v/>
      </c>
      <c r="M25" s="50"/>
      <c r="N25" s="50" t="str">
        <f t="shared" ref="N25:P25" si="72">VLOOKUP($A25, INDIRECT(N$1&amp;"!A:D"), 4, FALSE)</f>
        <v/>
      </c>
      <c r="O25" s="50" t="str">
        <f t="shared" si="72"/>
        <v/>
      </c>
      <c r="P25" s="50" t="str">
        <f t="shared" si="72"/>
        <v/>
      </c>
      <c r="Q25" s="49" t="str">
        <f>IFERROR(__xludf.DUMMYFUNCTION("IF(COUNTA(K25:P25)=0, """", ARRAYFORMULA(""- ""&amp;TEXTJOIN(char(10)&amp;""- "", TRUE, FILTER(K$1:P$1&amp;"": ""&amp;K25:P25, NOT(ISBLANK(K25:P25))))))"),"")</f>
        <v/>
      </c>
      <c r="R25" s="49" t="s">
        <v>473</v>
      </c>
      <c r="S25" s="51" t="s">
        <v>476</v>
      </c>
    </row>
    <row r="26">
      <c r="A26" s="12" t="str">
        <f>IFERROR(__xludf.DUMMYFUNCTION("""COMPUTED_VALUE"""),"bc1ca450c1d94031263f298200580757")</f>
        <v>bc1ca450c1d94031263f298200580757</v>
      </c>
      <c r="B26" s="12" t="str">
        <f>IFERROR(__xludf.DUMMYFUNCTION("""COMPUTED_VALUE"""),"This article places the theorization and analysis of hydro-hegemony in the context of the scholarship on transboundary water conflict and cooperation. We discuss critiques, developments, and debates in this domain over the past 10 years, focusing particul"&amp;"arly on the contributions of the London Water Research Group, showing how thinking on the theorization and analysis of hydro-hegemony—and hydropolitics—has moved beyond the state-centricity, the tendency to see hegemony as solely negative, and the concept"&amp;"ually hegemonic potential of hydro-hegemony itself. Various strands of international relations theory (realism, neo-institutionalism, critical theory) have left their mark on the London School. Intense interaction between analysts and pragmatic practition"&amp;"ers is found to invite (or incite) eclecticism as well as promote vibrancy.")</f>
        <v>This article places the theorization and analysis of hydro-hegemony in the context of the scholarship on transboundary water conflict and cooperation. We discuss critiques, developments, and debates in this domain over the past 10 years, focusing particularly on the contributions of the London Water Research Group, showing how thinking on the theorization and analysis of hydro-hegemony—and hydropolitics—has moved beyond the state-centricity, the tendency to see hegemony as solely negative, and the conceptually hegemonic potential of hydro-hegemony itself. Various strands of international relations theory (realism, neo-institutionalism, critical theory) have left their mark on the London School. Intense interaction between analysts and pragmatic practitioners is found to invite (or incite) eclecticism as well as promote vibrancy.</v>
      </c>
      <c r="C26" s="7" t="s">
        <v>483</v>
      </c>
      <c r="D26" s="48" t="b">
        <f t="shared" ref="D26:I26" si="73">VLOOKUP($A26, INDIRECT(D$1&amp;"!A:C"), 3, FALSE)</f>
        <v>1</v>
      </c>
      <c r="E26" s="48" t="str">
        <f t="shared" si="73"/>
        <v>TO DO</v>
      </c>
      <c r="F26" s="48" t="b">
        <f t="shared" si="73"/>
        <v>0</v>
      </c>
      <c r="G26" s="48" t="str">
        <f t="shared" si="73"/>
        <v>TO DO</v>
      </c>
      <c r="H26" s="48" t="b">
        <f t="shared" si="73"/>
        <v>0</v>
      </c>
      <c r="I26" s="48" t="b">
        <f t="shared" si="73"/>
        <v>0</v>
      </c>
      <c r="J26" s="49">
        <f t="shared" si="4"/>
        <v>0.5</v>
      </c>
      <c r="K26" s="50" t="str">
        <f t="shared" ref="K26:L26" si="74">VLOOKUP($A26, INDIRECT(K$1&amp;"!A:D"), 4, FALSE)</f>
        <v/>
      </c>
      <c r="L26" s="50" t="str">
        <f t="shared" si="74"/>
        <v/>
      </c>
      <c r="M26" s="50"/>
      <c r="N26" s="50" t="str">
        <f t="shared" ref="N26:P26" si="75">VLOOKUP($A26, INDIRECT(N$1&amp;"!A:D"), 4, FALSE)</f>
        <v/>
      </c>
      <c r="O26" s="50" t="str">
        <f t="shared" si="75"/>
        <v/>
      </c>
      <c r="P26" s="50" t="str">
        <f t="shared" si="75"/>
        <v/>
      </c>
      <c r="Q26" s="49" t="str">
        <f>IFERROR(__xludf.DUMMYFUNCTION("IF(COUNTA(K26:P26)=0, """", ARRAYFORMULA(""- ""&amp;TEXTJOIN(char(10)&amp;""- "", TRUE, FILTER(K$1:P$1&amp;"": ""&amp;K26:P26, NOT(ISBLANK(K26:P26))))))"),"")</f>
        <v/>
      </c>
      <c r="R26" s="49" t="s">
        <v>473</v>
      </c>
      <c r="S26" s="51" t="s">
        <v>476</v>
      </c>
    </row>
    <row r="27">
      <c r="A27" s="12" t="str">
        <f>IFERROR(__xludf.DUMMYFUNCTION("""COMPUTED_VALUE"""),"288de747b316afd352ae70a23303d441")</f>
        <v>288de747b316afd352ae70a23303d441</v>
      </c>
      <c r="B27" s="12" t="str">
        <f>IFERROR(__xludf.DUMMYFUNCTION("""COMPUTED_VALUE"""),"ABSTRACTThe rise of the BRICS countries – Brazil, Russia, China, India, and South Africa – has called into question the future of Western dominance in world markets and geopolitics. However, the developmental trajectories of the BRICS countries are shot t"&amp;"hrough with socio-economic fault lines that relegate large numbers of people to the margins of current growth processes, where life is characterized by multiple and overlapping vulnerabilities. These socio-economic fault lines have, in turn, given rise to"&amp;" political convulsions across the BRICS countries, ranging from single-issue protests to sustained social movements oriented towards structural transformation. This article presents an innovative theoretical framework for theorizing the emerging political"&amp;" economy of development in the BRICS countries centred on neo-liberalization, precarity, and popular struggles. It discusses the contributions to this special issue in terms of how they illuminate the intersection between neo-liberalization, precarity, an"&amp;"...")</f>
        <v>ABSTRACTThe rise of the BRICS countries – Brazil, Russia, China, India, and South Africa – has called into question the future of Western dominance in world markets and geopolitics. However, the developmental trajectories of the BRICS countries are shot through with socio-economic fault lines that relegate large numbers of people to the margins of current growth processes, where life is characterized by multiple and overlapping vulnerabilities. These socio-economic fault lines have, in turn, given rise to political convulsions across the BRICS countries, ranging from single-issue protests to sustained social movements oriented towards structural transformation. This article presents an innovative theoretical framework for theorizing the emerging political economy of development in the BRICS countries centred on neo-liberalization, precarity, and popular struggles. It discusses the contributions to this special issue in terms of how they illuminate the intersection between neo-liberalization, precarity, an...</v>
      </c>
      <c r="C27" s="48"/>
      <c r="D27" s="48" t="b">
        <f t="shared" ref="D27:I27" si="76">VLOOKUP($A27, INDIRECT(D$1&amp;"!A:C"), 3, FALSE)</f>
        <v>0</v>
      </c>
      <c r="E27" s="48" t="str">
        <f t="shared" si="76"/>
        <v>TO DO</v>
      </c>
      <c r="F27" s="48" t="b">
        <f t="shared" si="76"/>
        <v>0</v>
      </c>
      <c r="G27" s="48" t="str">
        <f t="shared" si="76"/>
        <v>TO DO</v>
      </c>
      <c r="H27" s="48" t="b">
        <f t="shared" si="76"/>
        <v>0</v>
      </c>
      <c r="I27" s="48" t="b">
        <f t="shared" si="76"/>
        <v>0</v>
      </c>
      <c r="J27" s="49">
        <f t="shared" si="4"/>
        <v>1</v>
      </c>
      <c r="K27" s="50" t="str">
        <f t="shared" ref="K27:L27" si="77">VLOOKUP($A27, INDIRECT(K$1&amp;"!A:D"), 4, FALSE)</f>
        <v/>
      </c>
      <c r="L27" s="50" t="str">
        <f t="shared" si="77"/>
        <v/>
      </c>
      <c r="M27" s="50"/>
      <c r="N27" s="50" t="str">
        <f t="shared" ref="N27:P27" si="78">VLOOKUP($A27, INDIRECT(N$1&amp;"!A:D"), 4, FALSE)</f>
        <v/>
      </c>
      <c r="O27" s="50" t="str">
        <f t="shared" si="78"/>
        <v/>
      </c>
      <c r="P27" s="50" t="str">
        <f t="shared" si="78"/>
        <v/>
      </c>
      <c r="Q27" s="49" t="str">
        <f>IFERROR(__xludf.DUMMYFUNCTION("IF(COUNTA(K27:P27)=0, """", ARRAYFORMULA(""- ""&amp;TEXTJOIN(char(10)&amp;""- "", TRUE, FILTER(K$1:P$1&amp;"": ""&amp;K27:P27, NOT(ISBLANK(K27:P27))))))"),"")</f>
        <v/>
      </c>
      <c r="R27" s="49" t="s">
        <v>473</v>
      </c>
      <c r="S27" s="51" t="b">
        <v>0</v>
      </c>
    </row>
    <row r="28">
      <c r="A28" s="12" t="str">
        <f>IFERROR(__xludf.DUMMYFUNCTION("""COMPUTED_VALUE"""),"2c84e07d8f65cb7d9e1b587c856d9720")</f>
        <v>2c84e07d8f65cb7d9e1b587c856d9720</v>
      </c>
      <c r="B28" s="12" t="str">
        <f>IFERROR(__xludf.DUMMYFUNCTION("""COMPUTED_VALUE"""),"Scholars studying Sino-Russian relations point at the informal division of labour between Russia and China in global governance. Russia remains active in international security governance, whereas China has increased the level of its participation in area"&amp;"s of economic, financial and environmental governance. These differences are ascribed to the different potential of both states as well as their related varied scope of interests in a well-functioning global governance system. However, this division of la"&amp;"bour has evolved for the past couple of years. Beijing increased its engagement with international security governance, while Moscow lost some of its (already limited) interest in such areas as environmental or economic governance. This chapter aims at ex"&amp;"ploring this shift and its implications. Rather than analysing Sino-Russian relations in distinct areas of global governance, it proposes a different approach and identifies three patterns of interactions between the two countries: direct cooperation, par"&amp;"allel activities and contradictory/divergent activities.")</f>
        <v>Scholars studying Sino-Russian relations point at the informal division of labour between Russia and China in global governance. Russia remains active in international security governance, whereas China has increased the level of its participation in areas of economic, financial and environmental governance. These differences are ascribed to the different potential of both states as well as their related varied scope of interests in a well-functioning global governance system. However, this division of labour has evolved for the past couple of years. Beijing increased its engagement with international security governance, while Moscow lost some of its (already limited) interest in such areas as environmental or economic governance. This chapter aims at exploring this shift and its implications. Rather than analysing Sino-Russian relations in distinct areas of global governance, it proposes a different approach and identifies three patterns of interactions between the two countries: direct cooperation, parallel activities and contradictory/divergent activities.</v>
      </c>
      <c r="C28" s="52"/>
      <c r="D28" s="48" t="b">
        <f t="shared" ref="D28:I28" si="79">VLOOKUP($A28, INDIRECT(D$1&amp;"!A:C"), 3, FALSE)</f>
        <v>1</v>
      </c>
      <c r="E28" s="48" t="str">
        <f t="shared" si="79"/>
        <v>TO DO</v>
      </c>
      <c r="F28" s="48" t="b">
        <f t="shared" si="79"/>
        <v>1</v>
      </c>
      <c r="G28" s="48" t="str">
        <f t="shared" si="79"/>
        <v>TO DO</v>
      </c>
      <c r="H28" s="48" t="b">
        <f t="shared" si="79"/>
        <v>1</v>
      </c>
      <c r="I28" s="48" t="b">
        <f t="shared" si="79"/>
        <v>1</v>
      </c>
      <c r="J28" s="49">
        <f t="shared" si="4"/>
        <v>1</v>
      </c>
      <c r="K28" s="50" t="str">
        <f t="shared" ref="K28:L28" si="80">VLOOKUP($A28, INDIRECT(K$1&amp;"!A:D"), 4, FALSE)</f>
        <v/>
      </c>
      <c r="L28" s="50" t="str">
        <f t="shared" si="80"/>
        <v/>
      </c>
      <c r="M28" s="50"/>
      <c r="N28" s="50" t="str">
        <f t="shared" ref="N28:P28" si="81">VLOOKUP($A28, INDIRECT(N$1&amp;"!A:D"), 4, FALSE)</f>
        <v/>
      </c>
      <c r="O28" s="50" t="str">
        <f t="shared" si="81"/>
        <v/>
      </c>
      <c r="P28" s="50">
        <f t="shared" si="81"/>
        <v>16.8</v>
      </c>
      <c r="Q28" s="49" t="str">
        <f>IFERROR(__xludf.DUMMYFUNCTION("IF(COUNTA(K28:P28)=0, """", ARRAYFORMULA(""- ""&amp;TEXTJOIN(char(10)&amp;""- "", TRUE, FILTER(K$1:P$1&amp;"": ""&amp;K28:P28, NOT(ISBLANK(K28:P28))))))"),"- Steve: 16.8")</f>
        <v>- Steve: 16.8</v>
      </c>
      <c r="R28" s="49" t="s">
        <v>489</v>
      </c>
      <c r="S28" s="51" t="b">
        <v>1</v>
      </c>
    </row>
    <row r="29">
      <c r="A29" s="12" t="str">
        <f>IFERROR(__xludf.DUMMYFUNCTION("""COMPUTED_VALUE"""),"3e7fdb7f0f62d453a47a6d1e71d6f9ac")</f>
        <v>3e7fdb7f0f62d453a47a6d1e71d6f9ac</v>
      </c>
      <c r="B29" s="12" t="str">
        <f>IFERROR(__xludf.DUMMYFUNCTION("""COMPUTED_VALUE"""),"From Empire to Community: A New Approach to International     Relations.  By Amitai Etzioni. New York: Palgrave Macmillan, 2004.     272p. $29.95.  Amitai Etzioni is a seasoned political sociologist and leading voice     in the communitarian program to of"&amp;"fset the narcissistic and alienating     individualism of liberal modernity. Communitarians emphasize the affective     bonds that make community an indispensable feature of the human condition     and, thus, the local conditions within which individual h"&amp;"uman beings are     best able to understand and act on the common good. Notwithstanding     republican antecedents, communitarians have effectively abandoned the     universalistic tendencies of cosmopolitan Enlightenment republicanism to     rights-minde"&amp;"d liberals. In doing so, most communitarians have neglected     international relations.")</f>
        <v>From Empire to Community: A New Approach to International     Relations.  By Amitai Etzioni. New York: Palgrave Macmillan, 2004.     272p. $29.95.  Amitai Etzioni is a seasoned political sociologist and leading voice     in the communitarian program to offset the narcissistic and alienating     individualism of liberal modernity. Communitarians emphasize the affective     bonds that make community an indispensable feature of the human condition     and, thus, the local conditions within which individual human beings are     best able to understand and act on the common good. Notwithstanding     republican antecedents, communitarians have effectively abandoned the     universalistic tendencies of cosmopolitan Enlightenment republicanism to     rights-minded liberals. In doing so, most communitarians have neglected     international relations.</v>
      </c>
      <c r="C29" s="52"/>
      <c r="D29" s="48" t="b">
        <f t="shared" ref="D29:I29" si="82">VLOOKUP($A29, INDIRECT(D$1&amp;"!A:C"), 3, FALSE)</f>
        <v>0</v>
      </c>
      <c r="E29" s="48" t="str">
        <f t="shared" si="82"/>
        <v>TO DO</v>
      </c>
      <c r="F29" s="48" t="b">
        <f t="shared" si="82"/>
        <v>0</v>
      </c>
      <c r="G29" s="48" t="str">
        <f t="shared" si="82"/>
        <v>TO DO</v>
      </c>
      <c r="H29" s="48" t="b">
        <f t="shared" si="82"/>
        <v>0</v>
      </c>
      <c r="I29" s="48" t="b">
        <f t="shared" si="82"/>
        <v>0</v>
      </c>
      <c r="J29" s="49">
        <f t="shared" si="4"/>
        <v>1</v>
      </c>
      <c r="K29" s="50" t="str">
        <f t="shared" ref="K29:L29" si="83">VLOOKUP($A29, INDIRECT(K$1&amp;"!A:D"), 4, FALSE)</f>
        <v/>
      </c>
      <c r="L29" s="50" t="str">
        <f t="shared" si="83"/>
        <v/>
      </c>
      <c r="M29" s="50"/>
      <c r="N29" s="50" t="str">
        <f t="shared" ref="N29:P29" si="84">VLOOKUP($A29, INDIRECT(N$1&amp;"!A:D"), 4, FALSE)</f>
        <v/>
      </c>
      <c r="O29" s="50" t="str">
        <f t="shared" si="84"/>
        <v/>
      </c>
      <c r="P29" s="50" t="str">
        <f t="shared" si="84"/>
        <v/>
      </c>
      <c r="Q29" s="49" t="str">
        <f>IFERROR(__xludf.DUMMYFUNCTION("IF(COUNTA(K29:P29)=0, """", ARRAYFORMULA(""- ""&amp;TEXTJOIN(char(10)&amp;""- "", TRUE, FILTER(K$1:P$1&amp;"": ""&amp;K29:P29, NOT(ISBLANK(K29:P29))))))"),"")</f>
        <v/>
      </c>
      <c r="R29" s="49" t="s">
        <v>473</v>
      </c>
      <c r="S29" s="51" t="b">
        <v>0</v>
      </c>
    </row>
    <row r="30">
      <c r="A30" s="12" t="str">
        <f>IFERROR(__xludf.DUMMYFUNCTION("""COMPUTED_VALUE"""),"a8725283b8b6c962f4de06aedcdb8169")</f>
        <v>a8725283b8b6c962f4de06aedcdb8169</v>
      </c>
      <c r="B30" s="12" t="str">
        <f>IFERROR(__xludf.DUMMYFUNCTION("""COMPUTED_VALUE"""),"In this introduction, game studies is argued to be a force of innovation for cultural studies. While game studies, as it has developed over the last 10 years, fits well within cultural studies' methodology and theory, it does more than benefit from cultur"&amp;"al studies as a 'mother discipline'. Game studies proves itself to be a strong force, especially in its productive use of political economy to analyse games and gaming as a (new) cultural form. Building on a descriptive taxonomy of games and gaming by bot"&amp;"h genre and 'platform', this is an introduction to games and gaming for those with a cultural studies background. While ideally, game studies will develop also as cultural critique, this is a far cry from dominant practice in the gamer community. Gamers t"&amp;"end to be 'hand-in-glove' with the industry. It is high time for game studies to turn a critical eye on itself.")</f>
        <v>In this introduction, game studies is argued to be a force of innovation for cultural studies. While game studies, as it has developed over the last 10 years, fits well within cultural studies' methodology and theory, it does more than benefit from cultural studies as a 'mother discipline'. Game studies proves itself to be a strong force, especially in its productive use of political economy to analyse games and gaming as a (new) cultural form. Building on a descriptive taxonomy of games and gaming by both genre and 'platform', this is an introduction to games and gaming for those with a cultural studies background. While ideally, game studies will develop also as cultural critique, this is a far cry from dominant practice in the gamer community. Gamers tend to be 'hand-in-glove' with the industry. It is high time for game studies to turn a critical eye on itself.</v>
      </c>
      <c r="C30" s="7"/>
      <c r="D30" s="48" t="b">
        <f t="shared" ref="D30:I30" si="85">VLOOKUP($A30, INDIRECT(D$1&amp;"!A:C"), 3, FALSE)</f>
        <v>0</v>
      </c>
      <c r="E30" s="48" t="str">
        <f t="shared" si="85"/>
        <v>TO DO</v>
      </c>
      <c r="F30" s="48" t="b">
        <f t="shared" si="85"/>
        <v>0</v>
      </c>
      <c r="G30" s="48" t="str">
        <f t="shared" si="85"/>
        <v>TO DO</v>
      </c>
      <c r="H30" s="48" t="b">
        <f t="shared" si="85"/>
        <v>0</v>
      </c>
      <c r="I30" s="48" t="b">
        <f t="shared" si="85"/>
        <v>0</v>
      </c>
      <c r="J30" s="49">
        <f t="shared" si="4"/>
        <v>1</v>
      </c>
      <c r="K30" s="50" t="str">
        <f t="shared" ref="K30:L30" si="86">VLOOKUP($A30, INDIRECT(K$1&amp;"!A:D"), 4, FALSE)</f>
        <v/>
      </c>
      <c r="L30" s="50" t="str">
        <f t="shared" si="86"/>
        <v/>
      </c>
      <c r="M30" s="50"/>
      <c r="N30" s="50" t="str">
        <f t="shared" ref="N30:P30" si="87">VLOOKUP($A30, INDIRECT(N$1&amp;"!A:D"), 4, FALSE)</f>
        <v/>
      </c>
      <c r="O30" s="50" t="str">
        <f t="shared" si="87"/>
        <v/>
      </c>
      <c r="P30" s="50" t="str">
        <f t="shared" si="87"/>
        <v/>
      </c>
      <c r="Q30" s="49" t="str">
        <f>IFERROR(__xludf.DUMMYFUNCTION("IF(COUNTA(K30:P30)=0, """", ARRAYFORMULA(""- ""&amp;TEXTJOIN(char(10)&amp;""- "", TRUE, FILTER(K$1:P$1&amp;"": ""&amp;K30:P30, NOT(ISBLANK(K30:P30))))))"),"")</f>
        <v/>
      </c>
      <c r="R30" s="49" t="s">
        <v>473</v>
      </c>
      <c r="S30" s="51" t="b">
        <v>0</v>
      </c>
    </row>
    <row r="31">
      <c r="A31" s="12" t="str">
        <f>IFERROR(__xludf.DUMMYFUNCTION("""COMPUTED_VALUE"""),"5e649b773afc81706defb2785b964987")</f>
        <v>5e649b773afc81706defb2785b964987</v>
      </c>
      <c r="B31" s="12" t="str">
        <f>IFERROR(__xludf.DUMMYFUNCTION("""COMPUTED_VALUE"""),"Islamist Politics have been cast as a geopolitical threat to ‘the West’, as antisystemic movements, and as part of the cacophony of post‐modern identity politics. This article takes a critical approach to the geopolitics of Islamism and the representation"&amp;"al practices that have defined religio‐politics in relation to these various analytical categories. I argue that Islamist movements cannot be fruitfully analysed as primarily oppositional mobilisations. Such movements are not antisystemic as this term is "&amp;"usually understood, although they do pose a challenge to secularist categories. Furthermore, the scripting of social and new social movements works to close down spaces for religious politics, despite the apparent openings created by the post‐modern turn."&amp;" Finally, I argue that the ways in which knowledge about Islamist politics has been constructed reflects the historical institutionalisation of secularist power in the post‐Enlightenment era. Through this discussion, my aim is to point towards an approach"&amp;"...")</f>
        <v>Islamist Politics have been cast as a geopolitical threat to ‘the West’, as antisystemic movements, and as part of the cacophony of post‐modern identity politics. This article takes a critical approach to the geopolitics of Islamism and the representational practices that have defined religio‐politics in relation to these various analytical categories. I argue that Islamist movements cannot be fruitfully analysed as primarily oppositional mobilisations. Such movements are not antisystemic as this term is usually understood, although they do pose a challenge to secularist categories. Furthermore, the scripting of social and new social movements works to close down spaces for religious politics, despite the apparent openings created by the post‐modern turn. Finally, I argue that the ways in which knowledge about Islamist politics has been constructed reflects the historical institutionalisation of secularist power in the post‐Enlightenment era. Through this discussion, my aim is to point towards an approach...</v>
      </c>
      <c r="C31" s="7" t="s">
        <v>483</v>
      </c>
      <c r="D31" s="48" t="b">
        <f t="shared" ref="D31:I31" si="88">VLOOKUP($A31, INDIRECT(D$1&amp;"!A:C"), 3, FALSE)</f>
        <v>1</v>
      </c>
      <c r="E31" s="48" t="str">
        <f t="shared" si="88"/>
        <v>TO DO</v>
      </c>
      <c r="F31" s="48" t="b">
        <f t="shared" si="88"/>
        <v>0</v>
      </c>
      <c r="G31" s="48" t="str">
        <f t="shared" si="88"/>
        <v>TO DO</v>
      </c>
      <c r="H31" s="48" t="b">
        <f t="shared" si="88"/>
        <v>0</v>
      </c>
      <c r="I31" s="48" t="b">
        <f t="shared" si="88"/>
        <v>0</v>
      </c>
      <c r="J31" s="49">
        <f t="shared" si="4"/>
        <v>0.5</v>
      </c>
      <c r="K31" s="50" t="str">
        <f t="shared" ref="K31:L31" si="89">VLOOKUP($A31, INDIRECT(K$1&amp;"!A:D"), 4, FALSE)</f>
        <v>conflict, politics</v>
      </c>
      <c r="L31" s="50" t="str">
        <f t="shared" si="89"/>
        <v/>
      </c>
      <c r="M31" s="50"/>
      <c r="N31" s="50" t="str">
        <f t="shared" ref="N31:P31" si="90">VLOOKUP($A31, INDIRECT(N$1&amp;"!A:D"), 4, FALSE)</f>
        <v/>
      </c>
      <c r="O31" s="50" t="str">
        <f t="shared" si="90"/>
        <v/>
      </c>
      <c r="P31" s="50" t="str">
        <f t="shared" si="90"/>
        <v/>
      </c>
      <c r="Q31" s="49" t="str">
        <f>IFERROR(__xludf.DUMMYFUNCTION("IF(COUNTA(K31:P31)=0, """", ARRAYFORMULA(""- ""&amp;TEXTJOIN(char(10)&amp;""- "", TRUE, FILTER(K$1:P$1&amp;"": ""&amp;K31:P31, NOT(ISBLANK(K31:P31))))))"),"- Finn: conflict, politics")</f>
        <v>- Finn: conflict, politics</v>
      </c>
      <c r="R31" s="49" t="s">
        <v>490</v>
      </c>
      <c r="S31" s="51" t="s">
        <v>476</v>
      </c>
    </row>
    <row r="32">
      <c r="A32" s="12" t="str">
        <f>IFERROR(__xludf.DUMMYFUNCTION("""COMPUTED_VALUE"""),"091c39c369470d37b3b81c7f8ecc328f")</f>
        <v>091c39c369470d37b3b81c7f8ecc328f</v>
      </c>
      <c r="B32" s="12" t="str">
        <f>IFERROR(__xludf.DUMMYFUNCTION("""COMPUTED_VALUE"""),"Not since the civil rights era has enacted national legislation been fought so fiercely as the Patient Protection and Affordable Care Act. Political, ideological, and social forces have mobilized to undermine the ACA at numerous fronts, including the Supr"&amp;"eme Court, Congress, state governments, and the court of public opinion. The ACA has survived a constitutional challenge, a presidential re-election, numerous repeal votes in the House, and avowedly obstreperous state regulators. But it has not yet run th"&amp;"e full gauntlet of lethal strategies. The latest line of attack is a collection of orchestrated lawsuits seeking to keep the federal exchange from paying any premium tax subsidies.        What if the challengers eventually prevail? What would happen then?")</f>
        <v>Not since the civil rights era has enacted national legislation been fought so fiercely as the Patient Protection and Affordable Care Act. Political, ideological, and social forces have mobilized to undermine the ACA at numerous fronts, including the Supreme Court, Congress, state governments, and the court of public opinion. The ACA has survived a constitutional challenge, a presidential re-election, numerous repeal votes in the House, and avowedly obstreperous state regulators. But it has not yet run the full gauntlet of lethal strategies. The latest line of attack is a collection of orchestrated lawsuits seeking to keep the federal exchange from paying any premium tax subsidies.        What if the challengers eventually prevail? What would happen then?</v>
      </c>
      <c r="C32" s="53" t="s">
        <v>483</v>
      </c>
      <c r="D32" s="48" t="b">
        <f t="shared" ref="D32:I32" si="91">VLOOKUP($A32, INDIRECT(D$1&amp;"!A:C"), 3, FALSE)</f>
        <v>0</v>
      </c>
      <c r="E32" s="48" t="str">
        <f t="shared" si="91"/>
        <v>TO DO</v>
      </c>
      <c r="F32" s="48" t="b">
        <f t="shared" si="91"/>
        <v>0</v>
      </c>
      <c r="G32" s="48" t="str">
        <f t="shared" si="91"/>
        <v>TO DO</v>
      </c>
      <c r="H32" s="48" t="b">
        <f t="shared" si="91"/>
        <v>1</v>
      </c>
      <c r="I32" s="48" t="b">
        <f t="shared" si="91"/>
        <v>0</v>
      </c>
      <c r="J32" s="49">
        <f t="shared" si="4"/>
        <v>0.5</v>
      </c>
      <c r="K32" s="50" t="str">
        <f t="shared" ref="K32:L32" si="92">VLOOKUP($A32, INDIRECT(K$1&amp;"!A:D"), 4, FALSE)</f>
        <v/>
      </c>
      <c r="L32" s="50" t="str">
        <f t="shared" si="92"/>
        <v/>
      </c>
      <c r="M32" s="50"/>
      <c r="N32" s="50" t="str">
        <f t="shared" ref="N32:P32" si="93">VLOOKUP($A32, INDIRECT(N$1&amp;"!A:D"), 4, FALSE)</f>
        <v/>
      </c>
      <c r="O32" s="50" t="str">
        <f t="shared" si="93"/>
        <v/>
      </c>
      <c r="P32" s="50" t="str">
        <f t="shared" si="93"/>
        <v/>
      </c>
      <c r="Q32" s="49" t="str">
        <f>IFERROR(__xludf.DUMMYFUNCTION("IF(COUNTA(K32:P32)=0, """", ARRAYFORMULA(""- ""&amp;TEXTJOIN(char(10)&amp;""- "", TRUE, FILTER(K$1:P$1&amp;"": ""&amp;K32:P32, NOT(ISBLANK(K32:P32))))))"),"")</f>
        <v/>
      </c>
      <c r="R32" s="49" t="s">
        <v>473</v>
      </c>
      <c r="S32" s="54" t="b">
        <v>0</v>
      </c>
      <c r="T32" s="5" t="s">
        <v>491</v>
      </c>
    </row>
    <row r="33">
      <c r="A33" s="12" t="str">
        <f>IFERROR(__xludf.DUMMYFUNCTION("""COMPUTED_VALUE"""),"8d180616f2b86c7cc93f036fdda62f94")</f>
        <v>8d180616f2b86c7cc93f036fdda62f94</v>
      </c>
      <c r="B33" s="12" t="str">
        <f>IFERROR(__xludf.DUMMYFUNCTION("""COMPUTED_VALUE"""),"This chapter argues that Northern Ireland’s geographical and political status in the UK has important consequences for questions of language learning, languages in the community and language policy. It examines the most important contextual factors for la"&amp;"nguages in Northern Ireland, and deals with two main areas: languages in the education system and languages in the community. In both sections, it discusses both policy and practice together. A final section draws together the main issues and the implicat"&amp;"ions of Brexit for languages in Northern Ireland. It argues that what is now urgently needed is a radically different level of awareness, not only in wider society in Northern Ireland, but also in education and in local government, of the importance of la"&amp;"nguages for peace, community relations, security, trade, diplomacy, international relations and crucially, for intercultural understanding (at home and abroad).")</f>
        <v>This chapter argues that Northern Ireland’s geographical and political status in the UK has important consequences for questions of language learning, languages in the community and language policy. It examines the most important contextual factors for languages in Northern Ireland, and deals with two main areas: languages in the education system and languages in the community. In both sections, it discusses both policy and practice together. A final section draws together the main issues and the implications of Brexit for languages in Northern Ireland. It argues that what is now urgently needed is a radically different level of awareness, not only in wider society in Northern Ireland, but also in education and in local government, of the importance of languages for peace, community relations, security, trade, diplomacy, international relations and crucially, for intercultural understanding (at home and abroad).</v>
      </c>
      <c r="C33" s="53" t="s">
        <v>483</v>
      </c>
      <c r="D33" s="48" t="b">
        <f t="shared" ref="D33:I33" si="94">VLOOKUP($A33, INDIRECT(D$1&amp;"!A:C"), 3, FALSE)</f>
        <v>1</v>
      </c>
      <c r="E33" s="48" t="str">
        <f t="shared" si="94"/>
        <v>TO DO</v>
      </c>
      <c r="F33" s="48" t="b">
        <f t="shared" si="94"/>
        <v>0</v>
      </c>
      <c r="G33" s="48" t="str">
        <f t="shared" si="94"/>
        <v>TO DO</v>
      </c>
      <c r="H33" s="48" t="b">
        <f t="shared" si="94"/>
        <v>0</v>
      </c>
      <c r="I33" s="48" t="b">
        <f t="shared" si="94"/>
        <v>0</v>
      </c>
      <c r="J33" s="49">
        <f t="shared" si="4"/>
        <v>0.5</v>
      </c>
      <c r="K33" s="50" t="str">
        <f t="shared" ref="K33:L33" si="95">VLOOKUP($A33, INDIRECT(K$1&amp;"!A:D"), 4, FALSE)</f>
        <v>focus on peace</v>
      </c>
      <c r="L33" s="50" t="str">
        <f t="shared" si="95"/>
        <v/>
      </c>
      <c r="M33" s="50"/>
      <c r="N33" s="50" t="str">
        <f t="shared" ref="N33:P33" si="96">VLOOKUP($A33, INDIRECT(N$1&amp;"!A:D"), 4, FALSE)</f>
        <v/>
      </c>
      <c r="O33" s="50" t="str">
        <f t="shared" si="96"/>
        <v/>
      </c>
      <c r="P33" s="50" t="str">
        <f t="shared" si="96"/>
        <v/>
      </c>
      <c r="Q33" s="49" t="str">
        <f>IFERROR(__xludf.DUMMYFUNCTION("IF(COUNTA(K33:P33)=0, """", ARRAYFORMULA(""- ""&amp;TEXTJOIN(char(10)&amp;""- "", TRUE, FILTER(K$1:P$1&amp;"": ""&amp;K33:P33, NOT(ISBLANK(K33:P33))))))"),"- Finn: focus on peace")</f>
        <v>- Finn: focus on peace</v>
      </c>
      <c r="R33" s="49" t="s">
        <v>492</v>
      </c>
      <c r="S33" s="51" t="s">
        <v>476</v>
      </c>
    </row>
    <row r="34">
      <c r="A34" s="12" t="str">
        <f>IFERROR(__xludf.DUMMYFUNCTION("""COMPUTED_VALUE"""),"6604792bc4a450288f45a62a0cfdbf2d")</f>
        <v>6604792bc4a450288f45a62a0cfdbf2d</v>
      </c>
      <c r="B34" s="12" t="str">
        <f>IFERROR(__xludf.DUMMYFUNCTION("""COMPUTED_VALUE"""),"While a number of scholars argue that classical realism is conspicuously similar to critical international relations, this article takes an issue with such an interpretation. It does not challenge the observation that both approaches are comparable when i"&amp;"t comes to ethical concerns and a related critique of modernity, but it puts forth an argument that they differ fundamentally when it comes to their basic intellectual motivation and purpose. This also makes classical realism more ready to formulate norma"&amp;"tive judgment. To articulate what provides for the ethical impetus in classical realism, the study turns to the work of Stephen Turner and his collaborators who illuminate Weberian sources of classical realist social science. Adopting the category of anal"&amp;"yticism from Patrick Jackson, it further puts forth that normative judgment is linked to classical realism’s inherent ontological doubt, a feature it compensates for by focusing on epistemology necessitating constant engagement with empirical reality as a"&amp;"...")</f>
        <v>While a number of scholars argue that classical realism is conspicuously similar to critical international relations, this article takes an issue with such an interpretation. It does not challenge the observation that both approaches are comparable when it comes to ethical concerns and a related critique of modernity, but it puts forth an argument that they differ fundamentally when it comes to their basic intellectual motivation and purpose. This also makes classical realism more ready to formulate normative judgment. To articulate what provides for the ethical impetus in classical realism, the study turns to the work of Stephen Turner and his collaborators who illuminate Weberian sources of classical realist social science. Adopting the category of analyticism from Patrick Jackson, it further puts forth that normative judgment is linked to classical realism’s inherent ontological doubt, a feature it compensates for by focusing on epistemology necessitating constant engagement with empirical reality as a...</v>
      </c>
      <c r="C34" s="52"/>
      <c r="D34" s="48" t="b">
        <f t="shared" ref="D34:I34" si="97">VLOOKUP($A34, INDIRECT(D$1&amp;"!A:C"), 3, FALSE)</f>
        <v>0</v>
      </c>
      <c r="E34" s="48" t="str">
        <f t="shared" si="97"/>
        <v>TO DO</v>
      </c>
      <c r="F34" s="48" t="b">
        <f t="shared" si="97"/>
        <v>0</v>
      </c>
      <c r="G34" s="48" t="str">
        <f t="shared" si="97"/>
        <v>TO DO</v>
      </c>
      <c r="H34" s="48" t="b">
        <f t="shared" si="97"/>
        <v>0</v>
      </c>
      <c r="I34" s="48" t="b">
        <f t="shared" si="97"/>
        <v>0</v>
      </c>
      <c r="J34" s="49">
        <f t="shared" si="4"/>
        <v>1</v>
      </c>
      <c r="K34" s="50" t="str">
        <f t="shared" ref="K34:L34" si="98">VLOOKUP($A34, INDIRECT(K$1&amp;"!A:D"), 4, FALSE)</f>
        <v/>
      </c>
      <c r="L34" s="50" t="str">
        <f t="shared" si="98"/>
        <v/>
      </c>
      <c r="M34" s="50"/>
      <c r="N34" s="50" t="str">
        <f t="shared" ref="N34:P34" si="99">VLOOKUP($A34, INDIRECT(N$1&amp;"!A:D"), 4, FALSE)</f>
        <v/>
      </c>
      <c r="O34" s="50" t="str">
        <f t="shared" si="99"/>
        <v/>
      </c>
      <c r="P34" s="50" t="str">
        <f t="shared" si="99"/>
        <v/>
      </c>
      <c r="Q34" s="49" t="str">
        <f>IFERROR(__xludf.DUMMYFUNCTION("IF(COUNTA(K34:P34)=0, """", ARRAYFORMULA(""- ""&amp;TEXTJOIN(char(10)&amp;""- "", TRUE, FILTER(K$1:P$1&amp;"": ""&amp;K34:P34, NOT(ISBLANK(K34:P34))))))"),"")</f>
        <v/>
      </c>
      <c r="R34" s="49" t="s">
        <v>473</v>
      </c>
      <c r="S34" s="51" t="b">
        <v>0</v>
      </c>
    </row>
    <row r="35">
      <c r="A35" s="12" t="str">
        <f>IFERROR(__xludf.DUMMYFUNCTION("""COMPUTED_VALUE"""),"df7ffbc920ea30c329c8031ee642962c")</f>
        <v>df7ffbc920ea30c329c8031ee642962c</v>
      </c>
      <c r="B35" s="12" t="str">
        <f>IFERROR(__xludf.DUMMYFUNCTION("""COMPUTED_VALUE"""),"This chapter places the fundamental principles of civil justice under four headings: (1) regulating access to court and to justice, (2) ensuring the fairness of process as a shared responsibility of the court and the parties, (3) maintaining a speedy and "&amp;"efficient process, and (4) achieving just outcomes. It shows how Article 6(1) of the European Convention on Human Rights, now directly applicable in English courts through the Human Rights Act 1998, has contributed to the development of these principles. "&amp;"Among topics covered are: duty to give a reasoned judgment, abolition of the House of Lords (Judicial) and creation of the United Kingdom Supreme Court, the striking out procedure, legal advice privilege and in house counsel. It places the ALI/UNIDROIT Pr"&amp;"inciples of Civil Procedure within this framework as best practices.")</f>
        <v>This chapter places the fundamental principles of civil justice under four headings: (1) regulating access to court and to justice, (2) ensuring the fairness of process as a shared responsibility of the court and the parties, (3) maintaining a speedy and efficient process, and (4) achieving just outcomes. It shows how Article 6(1) of the European Convention on Human Rights, now directly applicable in English courts through the Human Rights Act 1998, has contributed to the development of these principles. Among topics covered are: duty to give a reasoned judgment, abolition of the House of Lords (Judicial) and creation of the United Kingdom Supreme Court, the striking out procedure, legal advice privilege and in house counsel. It places the ALI/UNIDROIT Principles of Civil Procedure within this framework as best practices.</v>
      </c>
      <c r="C35" s="53"/>
      <c r="D35" s="48" t="b">
        <f t="shared" ref="D35:I35" si="100">VLOOKUP($A35, INDIRECT(D$1&amp;"!A:C"), 3, FALSE)</f>
        <v>1</v>
      </c>
      <c r="E35" s="48" t="str">
        <f t="shared" si="100"/>
        <v>TO DO</v>
      </c>
      <c r="F35" s="48" t="b">
        <f t="shared" si="100"/>
        <v>1</v>
      </c>
      <c r="G35" s="48" t="str">
        <f t="shared" si="100"/>
        <v>TO DO</v>
      </c>
      <c r="H35" s="48" t="b">
        <f t="shared" si="100"/>
        <v>1</v>
      </c>
      <c r="I35" s="48" t="b">
        <f t="shared" si="100"/>
        <v>1</v>
      </c>
      <c r="J35" s="49">
        <f t="shared" si="4"/>
        <v>1</v>
      </c>
      <c r="K35" s="50" t="str">
        <f t="shared" ref="K35:L35" si="101">VLOOKUP($A35, INDIRECT(K$1&amp;"!A:D"), 4, FALSE)</f>
        <v/>
      </c>
      <c r="L35" s="50" t="str">
        <f t="shared" si="101"/>
        <v/>
      </c>
      <c r="M35" s="50"/>
      <c r="N35" s="50" t="str">
        <f t="shared" ref="N35:P35" si="102">VLOOKUP($A35, INDIRECT(N$1&amp;"!A:D"), 4, FALSE)</f>
        <v/>
      </c>
      <c r="O35" s="50" t="str">
        <f t="shared" si="102"/>
        <v/>
      </c>
      <c r="P35" s="50" t="str">
        <f t="shared" si="102"/>
        <v/>
      </c>
      <c r="Q35" s="49" t="str">
        <f>IFERROR(__xludf.DUMMYFUNCTION("IF(COUNTA(K35:P35)=0, """", ARRAYFORMULA(""- ""&amp;TEXTJOIN(char(10)&amp;""- "", TRUE, FILTER(K$1:P$1&amp;"": ""&amp;K35:P35, NOT(ISBLANK(K35:P35))))))"),"")</f>
        <v/>
      </c>
      <c r="R35" s="49" t="s">
        <v>473</v>
      </c>
      <c r="S35" s="51" t="b">
        <v>1</v>
      </c>
    </row>
    <row r="36">
      <c r="A36" s="12" t="str">
        <f>IFERROR(__xludf.DUMMYFUNCTION("""COMPUTED_VALUE"""),"f3306b27fd3c295efb4fd1978580e818")</f>
        <v>f3306b27fd3c295efb4fd1978580e818</v>
      </c>
      <c r="B36" s="12" t="str">
        <f>IFERROR(__xludf.DUMMYFUNCTION("""COMPUTED_VALUE"""),"This article considers recognition and enforcement of orders of the Family Division of the High Court varying a trust, or declaring it to be a sham and the assets held for its settlor, where the trustee and trust property are located outside the court’s j"&amp;"urisdiction. This will depend on private international law principles in the trustees’ home jurisdiction, which, assuming the trustee is not based in a Brussels Regulation or Lugano Convention State, are likely to be based on, and similar to, common law p"&amp;"rinciples applicable in England and Wales, which is the focus of this article.")</f>
        <v>This article considers recognition and enforcement of orders of the Family Division of the High Court varying a trust, or declaring it to be a sham and the assets held for its settlor, where the trustee and trust property are located outside the court’s jurisdiction. This will depend on private international law principles in the trustees’ home jurisdiction, which, assuming the trustee is not based in a Brussels Regulation or Lugano Convention State, are likely to be based on, and similar to, common law principles applicable in England and Wales, which is the focus of this article.</v>
      </c>
      <c r="C36" s="48"/>
      <c r="D36" s="48" t="b">
        <f t="shared" ref="D36:I36" si="103">VLOOKUP($A36, INDIRECT(D$1&amp;"!A:C"), 3, FALSE)</f>
        <v>0</v>
      </c>
      <c r="E36" s="48" t="str">
        <f t="shared" si="103"/>
        <v>TO DO</v>
      </c>
      <c r="F36" s="48" t="b">
        <f t="shared" si="103"/>
        <v>0</v>
      </c>
      <c r="G36" s="48" t="str">
        <f t="shared" si="103"/>
        <v>TO DO</v>
      </c>
      <c r="H36" s="48" t="b">
        <f t="shared" si="103"/>
        <v>0</v>
      </c>
      <c r="I36" s="48" t="b">
        <f t="shared" si="103"/>
        <v>0</v>
      </c>
      <c r="J36" s="49">
        <f t="shared" si="4"/>
        <v>1</v>
      </c>
      <c r="K36" s="50" t="str">
        <f t="shared" ref="K36:L36" si="104">VLOOKUP($A36, INDIRECT(K$1&amp;"!A:D"), 4, FALSE)</f>
        <v/>
      </c>
      <c r="L36" s="50" t="str">
        <f t="shared" si="104"/>
        <v/>
      </c>
      <c r="M36" s="50"/>
      <c r="N36" s="50" t="str">
        <f t="shared" ref="N36:P36" si="105">VLOOKUP($A36, INDIRECT(N$1&amp;"!A:D"), 4, FALSE)</f>
        <v/>
      </c>
      <c r="O36" s="50" t="str">
        <f t="shared" si="105"/>
        <v/>
      </c>
      <c r="P36" s="50" t="str">
        <f t="shared" si="105"/>
        <v/>
      </c>
      <c r="Q36" s="49" t="str">
        <f>IFERROR(__xludf.DUMMYFUNCTION("IF(COUNTA(K36:P36)=0, """", ARRAYFORMULA(""- ""&amp;TEXTJOIN(char(10)&amp;""- "", TRUE, FILTER(K$1:P$1&amp;"": ""&amp;K36:P36, NOT(ISBLANK(K36:P36))))))"),"")</f>
        <v/>
      </c>
      <c r="R36" s="49" t="s">
        <v>473</v>
      </c>
      <c r="S36" s="51" t="b">
        <v>0</v>
      </c>
    </row>
    <row r="37">
      <c r="A37" s="12" t="str">
        <f>IFERROR(__xludf.DUMMYFUNCTION("""COMPUTED_VALUE"""),"02d363218ca98431f0b98e877a86a3fe")</f>
        <v>02d363218ca98431f0b98e877a86a3fe</v>
      </c>
      <c r="B37" s="12" t="str">
        <f>IFERROR(__xludf.DUMMYFUNCTION("""COMPUTED_VALUE"""),"This article considers the dilemma that constitutional judicial review presents to the most well-meaning of judges — that of navigating the narrow and difficult road between parliamentary supremacy and judicial oligarchy. It examines the Singapore Court o"&amp;"f Appeal’s delineation of legal and extra-legal considerations in view of Ronald Dworkin’s theory of adjudication in determining the constitutionality of section 377A of the Penal Code in Lim Meng Suang v. Attorney General. It proposes an alternative natu"&amp;"ral law approach to constitutional judicial review based on Radbruch’s formula, which helps courts to avoid the pitfalls of judicial idiosyncrasies and usurpation of legislative mandate while staying true to constitutionalism.")</f>
        <v>This article considers the dilemma that constitutional judicial review presents to the most well-meaning of judges — that of navigating the narrow and difficult road between parliamentary supremacy and judicial oligarchy. It examines the Singapore Court of Appeal’s delineation of legal and extra-legal considerations in view of Ronald Dworkin’s theory of adjudication in determining the constitutionality of section 377A of the Penal Code in Lim Meng Suang v. Attorney General. It proposes an alternative natural law approach to constitutional judicial review based on Radbruch’s formula, which helps courts to avoid the pitfalls of judicial idiosyncrasies and usurpation of legislative mandate while staying true to constitutionalism.</v>
      </c>
      <c r="C37" s="7" t="s">
        <v>474</v>
      </c>
      <c r="D37" s="48" t="b">
        <f t="shared" ref="D37:I37" si="106">VLOOKUP($A37, INDIRECT(D$1&amp;"!A:C"), 3, FALSE)</f>
        <v>1</v>
      </c>
      <c r="E37" s="48" t="str">
        <f t="shared" si="106"/>
        <v>TO DO</v>
      </c>
      <c r="F37" s="48" t="b">
        <f t="shared" si="106"/>
        <v>0</v>
      </c>
      <c r="G37" s="48" t="str">
        <f t="shared" si="106"/>
        <v>TO DO</v>
      </c>
      <c r="H37" s="48" t="b">
        <f t="shared" si="106"/>
        <v>0</v>
      </c>
      <c r="I37" s="48" t="b">
        <f t="shared" si="106"/>
        <v>1</v>
      </c>
      <c r="J37" s="49">
        <f t="shared" si="4"/>
        <v>0</v>
      </c>
      <c r="K37" s="50" t="str">
        <f t="shared" ref="K37:L37" si="107">VLOOKUP($A37, INDIRECT(K$1&amp;"!A:D"), 4, FALSE)</f>
        <v/>
      </c>
      <c r="L37" s="50" t="str">
        <f t="shared" si="107"/>
        <v/>
      </c>
      <c r="M37" s="50"/>
      <c r="N37" s="50" t="str">
        <f t="shared" ref="N37:P37" si="108">VLOOKUP($A37, INDIRECT(N$1&amp;"!A:D"), 4, FALSE)</f>
        <v/>
      </c>
      <c r="O37" s="50" t="str">
        <f t="shared" si="108"/>
        <v/>
      </c>
      <c r="P37" s="50" t="str">
        <f t="shared" si="108"/>
        <v>transparent and effective institutions</v>
      </c>
      <c r="Q37" s="49" t="str">
        <f>IFERROR(__xludf.DUMMYFUNCTION("IF(COUNTA(K37:P37)=0, """", ARRAYFORMULA(""- ""&amp;TEXTJOIN(char(10)&amp;""- "", TRUE, FILTER(K$1:P$1&amp;"": ""&amp;K37:P37, NOT(ISBLANK(K37:P37))))))"),"- Steve: transparent and effective institutions")</f>
        <v>- Steve: transparent and effective institutions</v>
      </c>
      <c r="R37" s="49" t="s">
        <v>493</v>
      </c>
      <c r="S37" s="51" t="s">
        <v>476</v>
      </c>
    </row>
    <row r="38">
      <c r="A38" s="12" t="str">
        <f>IFERROR(__xludf.DUMMYFUNCTION("""COMPUTED_VALUE"""),"a81a92cb20f10e5529366cca258101a7")</f>
        <v>a81a92cb20f10e5529366cca258101a7</v>
      </c>
      <c r="B38" s="12" t="str">
        <f>IFERROR(__xludf.DUMMYFUNCTION("""COMPUTED_VALUE"""),"In recent years, design approaches to policymaking have gained popularity among policymakers.  However, a critical reflection on their added value and on how contemporary ‘design-thinking’  approaches relates to the classical idea of public administration"&amp;" as a design science, is still lacking.  This introductory paper reflects upon the use of design approaches in public administration. We  delve into the more traditional ideas of design as launched by Simon and policy design, but also  into the present-da"&amp;"y design wave, stemming from traditional design sciences. Based upon this we  distinguish between three ideal-type approaches of design currently characterising the discipline:  design as optimisation, design as exploration and design as co-creation. More"&amp;" rigorous empirical  analyses of applications of these approaches is necessary to further develop public administration  as a design science. We reflect upon the question of how a more designerly way of thinking can  help to improve public administration "&amp;"and public policy.")</f>
        <v>In recent years, design approaches to policymaking have gained popularity among policymakers.  However, a critical reflection on their added value and on how contemporary ‘design-thinking’  approaches relates to the classical idea of public administration as a design science, is still lacking.  This introductory paper reflects upon the use of design approaches in public administration. We  delve into the more traditional ideas of design as launched by Simon and policy design, but also  into the present-day design wave, stemming from traditional design sciences. Based upon this we  distinguish between three ideal-type approaches of design currently characterising the discipline:  design as optimisation, design as exploration and design as co-creation. More rigorous empirical  analyses of applications of these approaches is necessary to further develop public administration  as a design science. We reflect upon the question of how a more designerly way of thinking can  help to improve public administration and public policy.</v>
      </c>
      <c r="C38" s="7" t="s">
        <v>474</v>
      </c>
      <c r="D38" s="48" t="b">
        <f t="shared" ref="D38:I38" si="109">VLOOKUP($A38, INDIRECT(D$1&amp;"!A:C"), 3, FALSE)</f>
        <v>1</v>
      </c>
      <c r="E38" s="48" t="str">
        <f t="shared" si="109"/>
        <v>TO DO</v>
      </c>
      <c r="F38" s="48" t="b">
        <f t="shared" si="109"/>
        <v>1</v>
      </c>
      <c r="G38" s="48" t="str">
        <f t="shared" si="109"/>
        <v>TO DO</v>
      </c>
      <c r="H38" s="48" t="b">
        <f t="shared" si="109"/>
        <v>0</v>
      </c>
      <c r="I38" s="48" t="b">
        <f t="shared" si="109"/>
        <v>0</v>
      </c>
      <c r="J38" s="49">
        <f t="shared" si="4"/>
        <v>0</v>
      </c>
      <c r="K38" s="50" t="str">
        <f t="shared" ref="K38:L38" si="110">VLOOKUP($A38, INDIRECT(K$1&amp;"!A:D"), 4, FALSE)</f>
        <v/>
      </c>
      <c r="L38" s="50" t="str">
        <f t="shared" si="110"/>
        <v/>
      </c>
      <c r="M38" s="50"/>
      <c r="N38" s="50" t="str">
        <f t="shared" ref="N38:P38" si="111">VLOOKUP($A38, INDIRECT(N$1&amp;"!A:D"), 4, FALSE)</f>
        <v/>
      </c>
      <c r="O38" s="50" t="str">
        <f t="shared" si="111"/>
        <v/>
      </c>
      <c r="P38" s="50" t="str">
        <f t="shared" si="111"/>
        <v>weak link to 16.7 though</v>
      </c>
      <c r="Q38" s="49" t="str">
        <f>IFERROR(__xludf.DUMMYFUNCTION("IF(COUNTA(K38:P38)=0, """", ARRAYFORMULA(""- ""&amp;TEXTJOIN(char(10)&amp;""- "", TRUE, FILTER(K$1:P$1&amp;"": ""&amp;K38:P38, NOT(ISBLANK(K38:P38))))))"),"- Steve: weak link to 16.7 though")</f>
        <v>- Steve: weak link to 16.7 though</v>
      </c>
      <c r="R38" s="49" t="s">
        <v>494</v>
      </c>
      <c r="S38" s="51" t="s">
        <v>476</v>
      </c>
    </row>
    <row r="39">
      <c r="A39" s="12" t="str">
        <f>IFERROR(__xludf.DUMMYFUNCTION("""COMPUTED_VALUE"""),"055df43e31448cdaa69cdfefb6841699")</f>
        <v>055df43e31448cdaa69cdfefb6841699</v>
      </c>
      <c r="B39" s="12" t="str">
        <f>IFERROR(__xludf.DUMMYFUNCTION("""COMPUTED_VALUE"""),"This paper focuses on the role of discourse as a means of conferring identity and reducing task-related anxiety. Seeing discourse in this essentially defensive light leads to a new perspective on resistance to organizational change, portraying it as a thr"&amp;"eat to the defense structure of established discourses. To illustrate, the nascent discourse of electronic government will be examined. Although a potent new discourse, e-government clashes strongly with the discursively embedded social defense systems of"&amp;" local government. A case study is reported in a UK local authority. Drawing on actor network theory, it is shown how the hegemonic influence of the social defenses translated the radical rhetoric of e-government into an operational discourse that was bla"&amp;"nd and unthreatening.")</f>
        <v>This paper focuses on the role of discourse as a means of conferring identity and reducing task-related anxiety. Seeing discourse in this essentially defensive light leads to a new perspective on resistance to organizational change, portraying it as a threat to the defense structure of established discourses. To illustrate, the nascent discourse of electronic government will be examined. Although a potent new discourse, e-government clashes strongly with the discursively embedded social defense systems of local government. A case study is reported in a UK local authority. Drawing on actor network theory, it is shown how the hegemonic influence of the social defenses translated the radical rhetoric of e-government into an operational discourse that was bland and unthreatening.</v>
      </c>
      <c r="C39" s="52"/>
      <c r="D39" s="48" t="b">
        <f t="shared" ref="D39:I39" si="112">VLOOKUP($A39, INDIRECT(D$1&amp;"!A:C"), 3, FALSE)</f>
        <v>0</v>
      </c>
      <c r="E39" s="48" t="str">
        <f t="shared" si="112"/>
        <v>TO DO</v>
      </c>
      <c r="F39" s="48" t="b">
        <f t="shared" si="112"/>
        <v>0</v>
      </c>
      <c r="G39" s="48" t="str">
        <f t="shared" si="112"/>
        <v>TO DO</v>
      </c>
      <c r="H39" s="48" t="b">
        <f t="shared" si="112"/>
        <v>0</v>
      </c>
      <c r="I39" s="48" t="b">
        <f t="shared" si="112"/>
        <v>0</v>
      </c>
      <c r="J39" s="49">
        <f t="shared" si="4"/>
        <v>1</v>
      </c>
      <c r="K39" s="50" t="str">
        <f t="shared" ref="K39:L39" si="113">VLOOKUP($A39, INDIRECT(K$1&amp;"!A:D"), 4, FALSE)</f>
        <v/>
      </c>
      <c r="L39" s="50" t="str">
        <f t="shared" si="113"/>
        <v/>
      </c>
      <c r="M39" s="50"/>
      <c r="N39" s="50" t="str">
        <f t="shared" ref="N39:P39" si="114">VLOOKUP($A39, INDIRECT(N$1&amp;"!A:D"), 4, FALSE)</f>
        <v/>
      </c>
      <c r="O39" s="50" t="str">
        <f t="shared" si="114"/>
        <v/>
      </c>
      <c r="P39" s="50" t="str">
        <f t="shared" si="114"/>
        <v/>
      </c>
      <c r="Q39" s="49" t="str">
        <f>IFERROR(__xludf.DUMMYFUNCTION("IF(COUNTA(K39:P39)=0, """", ARRAYFORMULA(""- ""&amp;TEXTJOIN(char(10)&amp;""- "", TRUE, FILTER(K$1:P$1&amp;"": ""&amp;K39:P39, NOT(ISBLANK(K39:P39))))))"),"")</f>
        <v/>
      </c>
      <c r="R39" s="49" t="s">
        <v>473</v>
      </c>
      <c r="S39" s="51" t="b">
        <v>0</v>
      </c>
    </row>
    <row r="40">
      <c r="A40" s="12" t="str">
        <f>IFERROR(__xludf.DUMMYFUNCTION("""COMPUTED_VALUE"""),"f75fad302ddc87e7fe415bac7d57cd30")</f>
        <v>f75fad302ddc87e7fe415bac7d57cd30</v>
      </c>
      <c r="B40" s="12" t="str">
        <f>IFERROR(__xludf.DUMMYFUNCTION("""COMPUTED_VALUE"""),"The text aims to reflect the experience of being a scholarship student in the discipline of nursing management in health services II, in the Undergraduate Program in Nursing at the University of Santa Cruz do Sul – UNISC. This discipline occurs in the sev"&amp;"enth semester of the course, being held in a Basic Public Health Unit. Practice happens in groups of six to eight students and during the same period of time there are related themes which are developed in the classroom. This method helps professors and s"&amp;"tudents, allowing them to observe and interact on the way of organizing and managing the Basic Health Unit, in order to be able to collaborate with the necessary improvements. We conclude that it contributes with the professional formation of the student "&amp;"scholarship and academic, guiding him/her to a more comprehensive look at management and decision making in developing health policy")</f>
        <v>The text aims to reflect the experience of being a scholarship student in the discipline of nursing management in health services II, in the Undergraduate Program in Nursing at the University of Santa Cruz do Sul – UNISC. This discipline occurs in the seventh semester of the course, being held in a Basic Public Health Unit. Practice happens in groups of six to eight students and during the same period of time there are related themes which are developed in the classroom. This method helps professors and students, allowing them to observe and interact on the way of organizing and managing the Basic Health Unit, in order to be able to collaborate with the necessary improvements. We conclude that it contributes with the professional formation of the student scholarship and academic, guiding him/her to a more comprehensive look at management and decision making in developing health policy</v>
      </c>
      <c r="C40" s="48"/>
      <c r="D40" s="48" t="b">
        <f t="shared" ref="D40:I40" si="115">VLOOKUP($A40, INDIRECT(D$1&amp;"!A:C"), 3, FALSE)</f>
        <v>0</v>
      </c>
      <c r="E40" s="48" t="str">
        <f t="shared" si="115"/>
        <v>TO DO</v>
      </c>
      <c r="F40" s="48" t="b">
        <f t="shared" si="115"/>
        <v>0</v>
      </c>
      <c r="G40" s="48" t="str">
        <f t="shared" si="115"/>
        <v>TO DO</v>
      </c>
      <c r="H40" s="48" t="b">
        <f t="shared" si="115"/>
        <v>0</v>
      </c>
      <c r="I40" s="48" t="b">
        <f t="shared" si="115"/>
        <v>0</v>
      </c>
      <c r="J40" s="49">
        <f t="shared" si="4"/>
        <v>1</v>
      </c>
      <c r="K40" s="50" t="str">
        <f t="shared" ref="K40:L40" si="116">VLOOKUP($A40, INDIRECT(K$1&amp;"!A:D"), 4, FALSE)</f>
        <v/>
      </c>
      <c r="L40" s="50" t="str">
        <f t="shared" si="116"/>
        <v/>
      </c>
      <c r="M40" s="50"/>
      <c r="N40" s="50" t="str">
        <f t="shared" ref="N40:P40" si="117">VLOOKUP($A40, INDIRECT(N$1&amp;"!A:D"), 4, FALSE)</f>
        <v/>
      </c>
      <c r="O40" s="50" t="str">
        <f t="shared" si="117"/>
        <v/>
      </c>
      <c r="P40" s="50" t="str">
        <f t="shared" si="117"/>
        <v/>
      </c>
      <c r="Q40" s="49" t="str">
        <f>IFERROR(__xludf.DUMMYFUNCTION("IF(COUNTA(K40:P40)=0, """", ARRAYFORMULA(""- ""&amp;TEXTJOIN(char(10)&amp;""- "", TRUE, FILTER(K$1:P$1&amp;"": ""&amp;K40:P40, NOT(ISBLANK(K40:P40))))))"),"")</f>
        <v/>
      </c>
      <c r="R40" s="49" t="s">
        <v>473</v>
      </c>
      <c r="S40" s="51" t="b">
        <v>0</v>
      </c>
    </row>
    <row r="41">
      <c r="A41" s="12" t="str">
        <f>IFERROR(__xludf.DUMMYFUNCTION("""COMPUTED_VALUE"""),"f00ab156c70ea131ba5308c9a7bf30eb")</f>
        <v>f00ab156c70ea131ba5308c9a7bf30eb</v>
      </c>
      <c r="B41" s="12" t="str">
        <f>IFERROR(__xludf.DUMMYFUNCTION("""COMPUTED_VALUE"""),"In this paper, we present and test a theory of how political connectedness (often linked to political corruption) affects corporate governance and productive efficiency of firms. Our model predicts that underdeveloped democratic institutions that do not p"&amp;"unish political corruption result in political connectedness of firms that in turn has a negative effect on performance. We test this prediction on an almost complete population of Slovenian joint-stock companies with 100 or more employees. Using the data"&amp;" on supervisory board structure, together with balance sheet and income statement data for 2000–2010, we show that a higher share of politically connected supervisory board members leads to lower productivity.")</f>
        <v>In this paper, we present and test a theory of how political connectedness (often linked to political corruption) affects corporate governance and productive efficiency of firms. Our model predicts that underdeveloped democratic institutions that do not punish political corruption result in political connectedness of firms that in turn has a negative effect on performance. We test this prediction on an almost complete population of Slovenian joint-stock companies with 100 or more employees. Using the data on supervisory board structure, together with balance sheet and income statement data for 2000–2010, we show that a higher share of politically connected supervisory board members leads to lower productivity.</v>
      </c>
      <c r="C41" s="7"/>
      <c r="D41" s="48" t="b">
        <f t="shared" ref="D41:I41" si="118">VLOOKUP($A41, INDIRECT(D$1&amp;"!A:C"), 3, FALSE)</f>
        <v>1</v>
      </c>
      <c r="E41" s="48" t="str">
        <f t="shared" si="118"/>
        <v>TO DO</v>
      </c>
      <c r="F41" s="48" t="b">
        <f t="shared" si="118"/>
        <v>1</v>
      </c>
      <c r="G41" s="48" t="str">
        <f t="shared" si="118"/>
        <v>TO DO</v>
      </c>
      <c r="H41" s="48" t="b">
        <f t="shared" si="118"/>
        <v>1</v>
      </c>
      <c r="I41" s="48" t="b">
        <f t="shared" si="118"/>
        <v>1</v>
      </c>
      <c r="J41" s="49">
        <f t="shared" si="4"/>
        <v>1</v>
      </c>
      <c r="K41" s="50" t="str">
        <f t="shared" ref="K41:L41" si="119">VLOOKUP($A41, INDIRECT(K$1&amp;"!A:D"), 4, FALSE)</f>
        <v/>
      </c>
      <c r="L41" s="50" t="str">
        <f t="shared" si="119"/>
        <v/>
      </c>
      <c r="M41" s="50"/>
      <c r="N41" s="50" t="str">
        <f t="shared" ref="N41:P41" si="120">VLOOKUP($A41, INDIRECT(N$1&amp;"!A:D"), 4, FALSE)</f>
        <v/>
      </c>
      <c r="O41" s="50" t="str">
        <f t="shared" si="120"/>
        <v/>
      </c>
      <c r="P41" s="50" t="str">
        <f t="shared" si="120"/>
        <v/>
      </c>
      <c r="Q41" s="49" t="str">
        <f>IFERROR(__xludf.DUMMYFUNCTION("IF(COUNTA(K41:P41)=0, """", ARRAYFORMULA(""- ""&amp;TEXTJOIN(char(10)&amp;""- "", TRUE, FILTER(K$1:P$1&amp;"": ""&amp;K41:P41, NOT(ISBLANK(K41:P41))))))"),"")</f>
        <v/>
      </c>
      <c r="R41" s="49" t="s">
        <v>473</v>
      </c>
      <c r="S41" s="51" t="b">
        <v>1</v>
      </c>
    </row>
    <row r="42">
      <c r="A42" s="12" t="str">
        <f>IFERROR(__xludf.DUMMYFUNCTION("""COMPUTED_VALUE"""),"089e98873261b350591b97bd13010cc8")</f>
        <v>089e98873261b350591b97bd13010cc8</v>
      </c>
      <c r="B42" s="12" t="str">
        <f>IFERROR(__xludf.DUMMYFUNCTION("""COMPUTED_VALUE"""),"The minimalist approach of the United Nations Convention on the Law of the Sea (1982) (“UNCLOS”), a 163 member multilateral treaty sometimes known as the ‘constitution of the oceans,’ and in relevant respects, reflective of customary international law of "&amp;"the sea, allows for strong anti-immigration territorial sovereignty arguments in contravention of its rescue provisions. Because of the perceived need to tighten border security, and the actions of some European States to close borders entirely, it is nec"&amp;"essary to reassert the binding nature of these rescue provisions in their traditional construction, as defined by their historical origins, to prevent wrongful infringement of the customary law of the sea’s duty to rescue.")</f>
        <v>The minimalist approach of the United Nations Convention on the Law of the Sea (1982) (“UNCLOS”), a 163 member multilateral treaty sometimes known as the ‘constitution of the oceans,’ and in relevant respects, reflective of customary international law of the sea, allows for strong anti-immigration territorial sovereignty arguments in contravention of its rescue provisions. Because of the perceived need to tighten border security, and the actions of some European States to close borders entirely, it is necessary to reassert the binding nature of these rescue provisions in their traditional construction, as defined by their historical origins, to prevent wrongful infringement of the customary law of the sea’s duty to rescue.</v>
      </c>
      <c r="C42" s="7" t="s">
        <v>474</v>
      </c>
      <c r="D42" s="48" t="b">
        <f t="shared" ref="D42:I42" si="121">VLOOKUP($A42, INDIRECT(D$1&amp;"!A:C"), 3, FALSE)</f>
        <v>1</v>
      </c>
      <c r="E42" s="48" t="str">
        <f t="shared" si="121"/>
        <v>TO DO</v>
      </c>
      <c r="F42" s="48" t="b">
        <f t="shared" si="121"/>
        <v>1</v>
      </c>
      <c r="G42" s="48" t="str">
        <f t="shared" si="121"/>
        <v>TO DO</v>
      </c>
      <c r="H42" s="48" t="b">
        <f t="shared" si="121"/>
        <v>1</v>
      </c>
      <c r="I42" s="48" t="b">
        <f t="shared" si="121"/>
        <v>0</v>
      </c>
      <c r="J42" s="49">
        <f t="shared" si="4"/>
        <v>0.5</v>
      </c>
      <c r="K42" s="50" t="str">
        <f t="shared" ref="K42:L42" si="122">VLOOKUP($A42, INDIRECT(K$1&amp;"!A:D"), 4, FALSE)</f>
        <v/>
      </c>
      <c r="L42" s="50" t="str">
        <f t="shared" si="122"/>
        <v/>
      </c>
      <c r="M42" s="50"/>
      <c r="N42" s="50" t="str">
        <f t="shared" ref="N42:P42" si="123">VLOOKUP($A42, INDIRECT(N$1&amp;"!A:D"), 4, FALSE)</f>
        <v/>
      </c>
      <c r="O42" s="50" t="str">
        <f t="shared" si="123"/>
        <v/>
      </c>
      <c r="P42" s="50" t="str">
        <f t="shared" si="123"/>
        <v>could be linked to 16.6?</v>
      </c>
      <c r="Q42" s="49" t="str">
        <f>IFERROR(__xludf.DUMMYFUNCTION("IF(COUNTA(K42:P42)=0, """", ARRAYFORMULA(""- ""&amp;TEXTJOIN(char(10)&amp;""- "", TRUE, FILTER(K$1:P$1&amp;"": ""&amp;K42:P42, NOT(ISBLANK(K42:P42))))))"),"- Steve: could be linked to 16.6?")</f>
        <v>- Steve: could be linked to 16.6?</v>
      </c>
      <c r="R42" s="49" t="s">
        <v>495</v>
      </c>
      <c r="S42" s="51" t="s">
        <v>476</v>
      </c>
    </row>
    <row r="43">
      <c r="A43" s="12" t="str">
        <f>IFERROR(__xludf.DUMMYFUNCTION("""COMPUTED_VALUE"""),"0cc41f470f8da785601105eb176947a8")</f>
        <v>0cc41f470f8da785601105eb176947a8</v>
      </c>
      <c r="B43" s="12" t="str">
        <f>IFERROR(__xludf.DUMMYFUNCTION("""COMPUTED_VALUE"""),"This study examines whether subject-specific teacher certification and academic degrees are related to teacher quality. The research design exploits contemporaneous, within-student comparisons made possible by a unique feature of the National Education Lo"&amp;"ngitudinal Study of 1988 (NELS:88). Specifically, NELS:88 contains subject-specific outcomes for eighth-grade students in two subjects as well as data on their teachers for those subjects. The analysis of these data indicates that assignment to a subject-"&amp;"certified teacher is associated with higher test scores. However, these gains appear to be concentrated in social studies and mathematics. Furthermore, the authors also find that subject-certified teachers are not more effective at promoting the intellect"&amp;"ual engagement of their students but are more likely to have negative opinions of a given student's performance.")</f>
        <v>This study examines whether subject-specific teacher certification and academic degrees are related to teacher quality. The research design exploits contemporaneous, within-student comparisons made possible by a unique feature of the National Education Longitudinal Study of 1988 (NELS:88). Specifically, NELS:88 contains subject-specific outcomes for eighth-grade students in two subjects as well as data on their teachers for those subjects. The analysis of these data indicates that assignment to a subject-certified teacher is associated with higher test scores. However, these gains appear to be concentrated in social studies and mathematics. Furthermore, the authors also find that subject-certified teachers are not more effective at promoting the intellectual engagement of their students but are more likely to have negative opinions of a given student's performance.</v>
      </c>
      <c r="C43" s="52"/>
      <c r="D43" s="48" t="b">
        <f t="shared" ref="D43:I43" si="124">VLOOKUP($A43, INDIRECT(D$1&amp;"!A:C"), 3, FALSE)</f>
        <v>0</v>
      </c>
      <c r="E43" s="48" t="str">
        <f t="shared" si="124"/>
        <v>TO DO</v>
      </c>
      <c r="F43" s="48" t="b">
        <f t="shared" si="124"/>
        <v>0</v>
      </c>
      <c r="G43" s="48" t="str">
        <f t="shared" si="124"/>
        <v>TO DO</v>
      </c>
      <c r="H43" s="48" t="b">
        <f t="shared" si="124"/>
        <v>0</v>
      </c>
      <c r="I43" s="48" t="b">
        <f t="shared" si="124"/>
        <v>0</v>
      </c>
      <c r="J43" s="49">
        <f t="shared" si="4"/>
        <v>1</v>
      </c>
      <c r="K43" s="50" t="str">
        <f t="shared" ref="K43:L43" si="125">VLOOKUP($A43, INDIRECT(K$1&amp;"!A:D"), 4, FALSE)</f>
        <v/>
      </c>
      <c r="L43" s="50" t="str">
        <f t="shared" si="125"/>
        <v/>
      </c>
      <c r="M43" s="50"/>
      <c r="N43" s="50" t="str">
        <f t="shared" ref="N43:P43" si="126">VLOOKUP($A43, INDIRECT(N$1&amp;"!A:D"), 4, FALSE)</f>
        <v/>
      </c>
      <c r="O43" s="50" t="str">
        <f t="shared" si="126"/>
        <v/>
      </c>
      <c r="P43" s="50" t="str">
        <f t="shared" si="126"/>
        <v/>
      </c>
      <c r="Q43" s="49" t="str">
        <f>IFERROR(__xludf.DUMMYFUNCTION("IF(COUNTA(K43:P43)=0, """", ARRAYFORMULA(""- ""&amp;TEXTJOIN(char(10)&amp;""- "", TRUE, FILTER(K$1:P$1&amp;"": ""&amp;K43:P43, NOT(ISBLANK(K43:P43))))))"),"")</f>
        <v/>
      </c>
      <c r="R43" s="49" t="s">
        <v>473</v>
      </c>
      <c r="S43" s="51" t="b">
        <v>0</v>
      </c>
    </row>
    <row r="44">
      <c r="A44" s="12" t="str">
        <f>IFERROR(__xludf.DUMMYFUNCTION("""COMPUTED_VALUE"""),"d08526135a60cb302601a7ded03342f4")</f>
        <v>d08526135a60cb302601a7ded03342f4</v>
      </c>
      <c r="B44" s="12" t="str">
        <f>IFERROR(__xludf.DUMMYFUNCTION("""COMPUTED_VALUE"""),"The innovative practice that resulted from the Ottawa Charter challenges public health knowledge about programming and evaluation. Specifically, there is a need to formulate program theory that embraces social determinants of health and local actors' mobi"&amp;"lization for social change. Likewise, it is imperative to develop a theory of evaluation that fosters reflexive understanding of public health programs engaged in social change. We believe advances in contemporary social theory that are founded on a criti"&amp;"que of modernity and that articulate a coherent theory of practice should be considered when addressing these critical challenges.")</f>
        <v>The innovative practice that resulted from the Ottawa Charter challenges public health knowledge about programming and evaluation. Specifically, there is a need to formulate program theory that embraces social determinants of health and local actors' mobilization for social change. Likewise, it is imperative to develop a theory of evaluation that fosters reflexive understanding of public health programs engaged in social change. We believe advances in contemporary social theory that are founded on a critique of modernity and that articulate a coherent theory of practice should be considered when addressing these critical challenges.</v>
      </c>
      <c r="C44" s="48"/>
      <c r="D44" s="48" t="b">
        <f t="shared" ref="D44:I44" si="127">VLOOKUP($A44, INDIRECT(D$1&amp;"!A:C"), 3, FALSE)</f>
        <v>0</v>
      </c>
      <c r="E44" s="48" t="str">
        <f t="shared" si="127"/>
        <v>TO DO</v>
      </c>
      <c r="F44" s="48" t="b">
        <f t="shared" si="127"/>
        <v>0</v>
      </c>
      <c r="G44" s="48" t="str">
        <f t="shared" si="127"/>
        <v>TO DO</v>
      </c>
      <c r="H44" s="48" t="b">
        <f t="shared" si="127"/>
        <v>0</v>
      </c>
      <c r="I44" s="48" t="b">
        <f t="shared" si="127"/>
        <v>0</v>
      </c>
      <c r="J44" s="49">
        <f t="shared" si="4"/>
        <v>1</v>
      </c>
      <c r="K44" s="50" t="str">
        <f t="shared" ref="K44:L44" si="128">VLOOKUP($A44, INDIRECT(K$1&amp;"!A:D"), 4, FALSE)</f>
        <v/>
      </c>
      <c r="L44" s="50" t="str">
        <f t="shared" si="128"/>
        <v/>
      </c>
      <c r="M44" s="50"/>
      <c r="N44" s="50" t="str">
        <f t="shared" ref="N44:P44" si="129">VLOOKUP($A44, INDIRECT(N$1&amp;"!A:D"), 4, FALSE)</f>
        <v/>
      </c>
      <c r="O44" s="50" t="str">
        <f t="shared" si="129"/>
        <v/>
      </c>
      <c r="P44" s="50" t="str">
        <f t="shared" si="129"/>
        <v/>
      </c>
      <c r="Q44" s="49" t="str">
        <f>IFERROR(__xludf.DUMMYFUNCTION("IF(COUNTA(K44:P44)=0, """", ARRAYFORMULA(""- ""&amp;TEXTJOIN(char(10)&amp;""- "", TRUE, FILTER(K$1:P$1&amp;"": ""&amp;K44:P44, NOT(ISBLANK(K44:P44))))))"),"")</f>
        <v/>
      </c>
      <c r="R44" s="49" t="s">
        <v>473</v>
      </c>
      <c r="S44" s="51" t="b">
        <v>0</v>
      </c>
    </row>
    <row r="45">
      <c r="A45" s="12" t="str">
        <f>IFERROR(__xludf.DUMMYFUNCTION("""COMPUTED_VALUE"""),"24ddd51c750f70b03503e18a1337c3bb")</f>
        <v>24ddd51c750f70b03503e18a1337c3bb</v>
      </c>
      <c r="B45" s="12" t="str">
        <f>IFERROR(__xludf.DUMMYFUNCTION("""COMPUTED_VALUE"""),"The article defines the fundamental right to petition in the Chilean legal system, considering its constitutional and Human Rights International Law sources, and focuses in the analysis of its poor regulation of the legislative development of said right, "&amp;"outside of the specific field of the government and its agencies.")</f>
        <v>The article defines the fundamental right to petition in the Chilean legal system, considering its constitutional and Human Rights International Law sources, and focuses in the analysis of its poor regulation of the legislative development of said right, outside of the specific field of the government and its agencies.</v>
      </c>
      <c r="C45" s="53"/>
      <c r="D45" s="48" t="b">
        <f t="shared" ref="D45:I45" si="130">VLOOKUP($A45, INDIRECT(D$1&amp;"!A:C"), 3, FALSE)</f>
        <v>1</v>
      </c>
      <c r="E45" s="48" t="str">
        <f t="shared" si="130"/>
        <v>TO DO</v>
      </c>
      <c r="F45" s="48" t="b">
        <f t="shared" si="130"/>
        <v>1</v>
      </c>
      <c r="G45" s="48" t="str">
        <f t="shared" si="130"/>
        <v>TO DO</v>
      </c>
      <c r="H45" s="48" t="b">
        <f t="shared" si="130"/>
        <v>1</v>
      </c>
      <c r="I45" s="48" t="b">
        <f t="shared" si="130"/>
        <v>1</v>
      </c>
      <c r="J45" s="49">
        <f t="shared" si="4"/>
        <v>1</v>
      </c>
      <c r="K45" s="50" t="str">
        <f t="shared" ref="K45:L45" si="131">VLOOKUP($A45, INDIRECT(K$1&amp;"!A:D"), 4, FALSE)</f>
        <v/>
      </c>
      <c r="L45" s="50" t="str">
        <f t="shared" si="131"/>
        <v/>
      </c>
      <c r="M45" s="50"/>
      <c r="N45" s="50" t="str">
        <f t="shared" ref="N45:P45" si="132">VLOOKUP($A45, INDIRECT(N$1&amp;"!A:D"), 4, FALSE)</f>
        <v/>
      </c>
      <c r="O45" s="50" t="str">
        <f t="shared" si="132"/>
        <v/>
      </c>
      <c r="P45" s="50" t="str">
        <f t="shared" si="132"/>
        <v/>
      </c>
      <c r="Q45" s="49" t="str">
        <f>IFERROR(__xludf.DUMMYFUNCTION("IF(COUNTA(K45:P45)=0, """", ARRAYFORMULA(""- ""&amp;TEXTJOIN(char(10)&amp;""- "", TRUE, FILTER(K$1:P$1&amp;"": ""&amp;K45:P45, NOT(ISBLANK(K45:P45))))))"),"")</f>
        <v/>
      </c>
      <c r="R45" s="49" t="s">
        <v>473</v>
      </c>
      <c r="S45" s="51" t="b">
        <v>1</v>
      </c>
    </row>
    <row r="46">
      <c r="A46" s="12" t="str">
        <f>IFERROR(__xludf.DUMMYFUNCTION("""COMPUTED_VALUE"""),"4920bda5bd27d3ddef7cbf1b77538b28")</f>
        <v>4920bda5bd27d3ddef7cbf1b77538b28</v>
      </c>
      <c r="B46" s="12" t="str">
        <f>IFERROR(__xludf.DUMMYFUNCTION("""COMPUTED_VALUE"""),"This article is based on a talk given at the Wisconsin Law Review 2010 Symposium on Intergenerational Equity and Intellectual Property held at the the University of Wisconsin Law School on November 12, 2010. In this short piece, I argue that there is an i"&amp;"nteresting tension between thinking about intergenerational equity and new media through a standard future-oriented lens and thinking about it through the lens of the common law. The tension can be briefly described as between variations of a classic Schm"&amp;"upeterian ""creative destruction"" on the one hand and the role of courts, law, and precedent in a common-law system on the other, what we might call ""creative construction."" I use this framework to focus on the ways in which courts rely on First Amendm"&amp;"ent institutions to further innovations-both legal and technological-whose effects in turn may transcend the present generation.")</f>
        <v>This article is based on a talk given at the Wisconsin Law Review 2010 Symposium on Intergenerational Equity and Intellectual Property held at the the University of Wisconsin Law School on November 12, 2010. In this short piece, I argue that there is an interesting tension between thinking about intergenerational equity and new media through a standard future-oriented lens and thinking about it through the lens of the common law. The tension can be briefly described as between variations of a classic Schmupeterian "creative destruction" on the one hand and the role of courts, law, and precedent in a common-law system on the other, what we might call "creative construction." I use this framework to focus on the ways in which courts rely on First Amendment institutions to further innovations-both legal and technological-whose effects in turn may transcend the present generation.</v>
      </c>
      <c r="C46" s="53" t="s">
        <v>483</v>
      </c>
      <c r="D46" s="48" t="b">
        <f t="shared" ref="D46:I46" si="133">VLOOKUP($A46, INDIRECT(D$1&amp;"!A:C"), 3, FALSE)</f>
        <v>0</v>
      </c>
      <c r="E46" s="48" t="str">
        <f t="shared" si="133"/>
        <v>TO DO</v>
      </c>
      <c r="F46" s="48" t="b">
        <f t="shared" si="133"/>
        <v>0</v>
      </c>
      <c r="G46" s="48" t="str">
        <f t="shared" si="133"/>
        <v>TO DO</v>
      </c>
      <c r="H46" s="48" t="b">
        <f t="shared" si="133"/>
        <v>1</v>
      </c>
      <c r="I46" s="48" t="b">
        <f t="shared" si="133"/>
        <v>0</v>
      </c>
      <c r="J46" s="49">
        <f t="shared" si="4"/>
        <v>0.5</v>
      </c>
      <c r="K46" s="50" t="str">
        <f t="shared" ref="K46:L46" si="134">VLOOKUP($A46, INDIRECT(K$1&amp;"!A:D"), 4, FALSE)</f>
        <v/>
      </c>
      <c r="L46" s="50" t="str">
        <f t="shared" si="134"/>
        <v/>
      </c>
      <c r="M46" s="50"/>
      <c r="N46" s="50" t="str">
        <f t="shared" ref="N46:P46" si="135">VLOOKUP($A46, INDIRECT(N$1&amp;"!A:D"), 4, FALSE)</f>
        <v/>
      </c>
      <c r="O46" s="50" t="str">
        <f t="shared" si="135"/>
        <v/>
      </c>
      <c r="P46" s="50" t="str">
        <f t="shared" si="135"/>
        <v>no real link to SDG 16</v>
      </c>
      <c r="Q46" s="49" t="str">
        <f>IFERROR(__xludf.DUMMYFUNCTION("IF(COUNTA(K46:P46)=0, """", ARRAYFORMULA(""- ""&amp;TEXTJOIN(char(10)&amp;""- "", TRUE, FILTER(K$1:P$1&amp;"": ""&amp;K46:P46, NOT(ISBLANK(K46:P46))))))"),"- Steve: no real link to SDG 16")</f>
        <v>- Steve: no real link to SDG 16</v>
      </c>
      <c r="R46" s="49" t="s">
        <v>496</v>
      </c>
      <c r="S46" s="51" t="s">
        <v>476</v>
      </c>
    </row>
    <row r="47">
      <c r="A47" s="12" t="str">
        <f>IFERROR(__xludf.DUMMYFUNCTION("""COMPUTED_VALUE"""),"8a40230051d7125d2e6e76e9968f945f")</f>
        <v>8a40230051d7125d2e6e76e9968f945f</v>
      </c>
      <c r="B47" s="12" t="str">
        <f>IFERROR(__xludf.DUMMYFUNCTION("""COMPUTED_VALUE"""),"For decades, home studies has been developed across a wide range of disciplines, including ethnography and anthropology, human and cultural geography, history, and social research in architecture and design. Transnational migrations also found their own s"&amp;"pecific niche in this multidisciplinary research area. Still, in migration studies of home numerous localized but isolated case studies predominate. This book by sociologist Paolo Boccagni is a long-awaited first attempt at generalizing, systematizing, an"&amp;"d conceptualizing more deeply existing scholarship on the migrationhome nexus.     DOI:  10.25285/2078-1938-2017-9-3-160-163")</f>
        <v>For decades, home studies has been developed across a wide range of disciplines, including ethnography and anthropology, human and cultural geography, history, and social research in architecture and design. Transnational migrations also found their own specific niche in this multidisciplinary research area. Still, in migration studies of home numerous localized but isolated case studies predominate. This book by sociologist Paolo Boccagni is a long-awaited first attempt at generalizing, systematizing, and conceptualizing more deeply existing scholarship on the migrationhome nexus.     DOI:  10.25285/2078-1938-2017-9-3-160-163</v>
      </c>
      <c r="C47" s="7"/>
      <c r="D47" s="48" t="b">
        <f t="shared" ref="D47:I47" si="136">VLOOKUP($A47, INDIRECT(D$1&amp;"!A:C"), 3, FALSE)</f>
        <v>0</v>
      </c>
      <c r="E47" s="48" t="str">
        <f t="shared" si="136"/>
        <v>TO DO</v>
      </c>
      <c r="F47" s="48" t="b">
        <f t="shared" si="136"/>
        <v>0</v>
      </c>
      <c r="G47" s="48" t="str">
        <f t="shared" si="136"/>
        <v>TO DO</v>
      </c>
      <c r="H47" s="48" t="b">
        <f t="shared" si="136"/>
        <v>0</v>
      </c>
      <c r="I47" s="48" t="b">
        <f t="shared" si="136"/>
        <v>0</v>
      </c>
      <c r="J47" s="49">
        <f t="shared" si="4"/>
        <v>1</v>
      </c>
      <c r="K47" s="50" t="str">
        <f t="shared" ref="K47:L47" si="137">VLOOKUP($A47, INDIRECT(K$1&amp;"!A:D"), 4, FALSE)</f>
        <v/>
      </c>
      <c r="L47" s="50" t="str">
        <f t="shared" si="137"/>
        <v/>
      </c>
      <c r="M47" s="50"/>
      <c r="N47" s="50" t="str">
        <f t="shared" ref="N47:P47" si="138">VLOOKUP($A47, INDIRECT(N$1&amp;"!A:D"), 4, FALSE)</f>
        <v/>
      </c>
      <c r="O47" s="50" t="str">
        <f t="shared" si="138"/>
        <v/>
      </c>
      <c r="P47" s="50" t="str">
        <f t="shared" si="138"/>
        <v/>
      </c>
      <c r="Q47" s="49" t="str">
        <f>IFERROR(__xludf.DUMMYFUNCTION("IF(COUNTA(K47:P47)=0, """", ARRAYFORMULA(""- ""&amp;TEXTJOIN(char(10)&amp;""- "", TRUE, FILTER(K$1:P$1&amp;"": ""&amp;K47:P47, NOT(ISBLANK(K47:P47))))))"),"")</f>
        <v/>
      </c>
      <c r="R47" s="49" t="s">
        <v>473</v>
      </c>
      <c r="S47" s="51" t="b">
        <v>0</v>
      </c>
    </row>
    <row r="48">
      <c r="A48" s="12" t="str">
        <f>IFERROR(__xludf.DUMMYFUNCTION("""COMPUTED_VALUE"""),"7655d639460cd74ecd3df13fd6909b04")</f>
        <v>7655d639460cd74ecd3df13fd6909b04</v>
      </c>
      <c r="B48" s="12" t="str">
        <f>IFERROR(__xludf.DUMMYFUNCTION("""COMPUTED_VALUE"""),"ABSTRACTThere has been a recent emergence of scholarship on the use of fun in the college statistics classroom, with at least 20 modalities identified. While there have been randomized experiments that suggest that fun can enhance student achievement or a"&amp;"ttitudes in statistics, these studies have generally been limited to one particular fun modality or have not been limited to the discipline of statistics. To address the efficacy of fun items in teaching statistics, a student-randomized experiment was des"&amp;"igned to assess how specific items of fun may cause changes in statistical anxiety and learning statistics content. This experiment was conducted at two institutions of higher education with different and diverse student populations. Findings include a si"&amp;"gnificant increase in correct responses to questions among students who were assigned online content with a song insert compared with those assigned content alone.")</f>
        <v>ABSTRACTThere has been a recent emergence of scholarship on the use of fun in the college statistics classroom, with at least 20 modalities identified. While there have been randomized experiments that suggest that fun can enhance student achievement or attitudes in statistics, these studies have generally been limited to one particular fun modality or have not been limited to the discipline of statistics. To address the efficacy of fun items in teaching statistics, a student-randomized experiment was designed to assess how specific items of fun may cause changes in statistical anxiety and learning statistics content. This experiment was conducted at two institutions of higher education with different and diverse student populations. Findings include a significant increase in correct responses to questions among students who were assigned online content with a song insert compared with those assigned content alone.</v>
      </c>
      <c r="C48" s="7"/>
      <c r="D48" s="48" t="b">
        <f t="shared" ref="D48:I48" si="139">VLOOKUP($A48, INDIRECT(D$1&amp;"!A:C"), 3, FALSE)</f>
        <v>0</v>
      </c>
      <c r="E48" s="48" t="str">
        <f t="shared" si="139"/>
        <v>TO DO</v>
      </c>
      <c r="F48" s="48" t="b">
        <f t="shared" si="139"/>
        <v>0</v>
      </c>
      <c r="G48" s="48" t="str">
        <f t="shared" si="139"/>
        <v>TO DO</v>
      </c>
      <c r="H48" s="48" t="b">
        <f t="shared" si="139"/>
        <v>0</v>
      </c>
      <c r="I48" s="48" t="b">
        <f t="shared" si="139"/>
        <v>0</v>
      </c>
      <c r="J48" s="49">
        <f t="shared" si="4"/>
        <v>1</v>
      </c>
      <c r="K48" s="50" t="str">
        <f t="shared" ref="K48:L48" si="140">VLOOKUP($A48, INDIRECT(K$1&amp;"!A:D"), 4, FALSE)</f>
        <v/>
      </c>
      <c r="L48" s="50" t="str">
        <f t="shared" si="140"/>
        <v/>
      </c>
      <c r="M48" s="50"/>
      <c r="N48" s="50" t="str">
        <f t="shared" ref="N48:P48" si="141">VLOOKUP($A48, INDIRECT(N$1&amp;"!A:D"), 4, FALSE)</f>
        <v/>
      </c>
      <c r="O48" s="50" t="str">
        <f t="shared" si="141"/>
        <v/>
      </c>
      <c r="P48" s="50" t="str">
        <f t="shared" si="141"/>
        <v/>
      </c>
      <c r="Q48" s="49" t="str">
        <f>IFERROR(__xludf.DUMMYFUNCTION("IF(COUNTA(K48:P48)=0, """", ARRAYFORMULA(""- ""&amp;TEXTJOIN(char(10)&amp;""- "", TRUE, FILTER(K$1:P$1&amp;"": ""&amp;K48:P48, NOT(ISBLANK(K48:P48))))))"),"")</f>
        <v/>
      </c>
      <c r="R48" s="49" t="s">
        <v>473</v>
      </c>
      <c r="S48" s="51" t="b">
        <v>0</v>
      </c>
    </row>
    <row r="49">
      <c r="A49" s="12" t="str">
        <f>IFERROR(__xludf.DUMMYFUNCTION("""COMPUTED_VALUE"""),"8030fe9ba91032305f46e168ca1219b6")</f>
        <v>8030fe9ba91032305f46e168ca1219b6</v>
      </c>
      <c r="B49" s="12" t="str">
        <f>IFERROR(__xludf.DUMMYFUNCTION("""COMPUTED_VALUE"""),"Amartya Sen’s comparative approach to justice makes clear that notions of justice are shaped by human agency and experience, and both his focus on the ‘internal view’ of well-being that emphasizes suffering as a central feature of illness and his recognit"&amp;"ion that social and cultural factors shape perceived injustice are critical to this approach. However, Sen questionably depicts the contributions of anthropological research to this project as limited to ‘the sensory dimension of ill-health.’ Focusing on "&amp;"mental health in the context of global justice, I argue that Sen’s treatise on justice can be refined through an ethnographic method that synchronizes attention to (1) cultural knowledge and social relations in ecological settings, (2) fundamental human n"&amp;"eeds, and (3) levels of analytic specificity involving situations, categories, and events. This method integrates analysis of internal phenomenology and external constraints of political economy and ideology. To demonstrate I discuss three cases involving"&amp;"...")</f>
        <v>Amartya Sen’s comparative approach to justice makes clear that notions of justice are shaped by human agency and experience, and both his focus on the ‘internal view’ of well-being that emphasizes suffering as a central feature of illness and his recognition that social and cultural factors shape perceived injustice are critical to this approach. However, Sen questionably depicts the contributions of anthropological research to this project as limited to ‘the sensory dimension of ill-health.’ Focusing on mental health in the context of global justice, I argue that Sen’s treatise on justice can be refined through an ethnographic method that synchronizes attention to (1) cultural knowledge and social relations in ecological settings, (2) fundamental human needs, and (3) levels of analytic specificity involving situations, categories, and events. This method integrates analysis of internal phenomenology and external constraints of political economy and ideology. To demonstrate I discuss three cases involving...</v>
      </c>
      <c r="C49" s="7" t="s">
        <v>487</v>
      </c>
      <c r="D49" s="48" t="b">
        <f t="shared" ref="D49:I49" si="142">VLOOKUP($A49, INDIRECT(D$1&amp;"!A:C"), 3, FALSE)</f>
        <v>0</v>
      </c>
      <c r="E49" s="48" t="str">
        <f t="shared" si="142"/>
        <v>TO DO</v>
      </c>
      <c r="F49" s="48" t="str">
        <f t="shared" si="142"/>
        <v>SKIP</v>
      </c>
      <c r="G49" s="48" t="str">
        <f t="shared" si="142"/>
        <v>TO DO</v>
      </c>
      <c r="H49" s="48" t="b">
        <f t="shared" si="142"/>
        <v>0</v>
      </c>
      <c r="I49" s="48" t="b">
        <f t="shared" si="142"/>
        <v>0</v>
      </c>
      <c r="J49" s="49">
        <f t="shared" si="4"/>
        <v>0.75</v>
      </c>
      <c r="K49" s="50" t="str">
        <f t="shared" ref="K49:L49" si="143">VLOOKUP($A49, INDIRECT(K$1&amp;"!A:D"), 4, FALSE)</f>
        <v/>
      </c>
      <c r="L49" s="50" t="str">
        <f t="shared" si="143"/>
        <v/>
      </c>
      <c r="M49" s="50"/>
      <c r="N49" s="50" t="str">
        <f t="shared" ref="N49:P49" si="144">VLOOKUP($A49, INDIRECT(N$1&amp;"!A:D"), 4, FALSE)</f>
        <v/>
      </c>
      <c r="O49" s="50" t="str">
        <f t="shared" si="144"/>
        <v/>
      </c>
      <c r="P49" s="50" t="str">
        <f t="shared" si="144"/>
        <v/>
      </c>
      <c r="Q49" s="49" t="str">
        <f>IFERROR(__xludf.DUMMYFUNCTION("IF(COUNTA(K49:P49)=0, """", ARRAYFORMULA(""- ""&amp;TEXTJOIN(char(10)&amp;""- "", TRUE, FILTER(K$1:P$1&amp;"": ""&amp;K49:P49, NOT(ISBLANK(K49:P49))))))"),"")</f>
        <v/>
      </c>
      <c r="R49" s="49" t="s">
        <v>473</v>
      </c>
      <c r="S49" s="54" t="b">
        <v>0</v>
      </c>
      <c r="T49" s="5" t="s">
        <v>497</v>
      </c>
    </row>
    <row r="50">
      <c r="A50" s="12" t="str">
        <f>IFERROR(__xludf.DUMMYFUNCTION("""COMPUTED_VALUE"""),"8fdfed098841293945ca0fc4b169bfa7")</f>
        <v>8fdfed098841293945ca0fc4b169bfa7</v>
      </c>
      <c r="B50" s="12" t="str">
        <f>IFERROR(__xludf.DUMMYFUNCTION("""COMPUTED_VALUE"""),"In this article, we seek to advance scholarship on the origins and consequences of policy devolution by analyzing state decisions to give local authorities control over welfare policy. The first part of our analysis explores the political forces that syst"&amp;"ematically influence state decisions to cede policy control to lower-level jurisdictions. In this context, we propose a general Racial Classification Model of how race influences social policy choice. Our findings support this model as well as social cont"&amp;"rol perspectives on welfare provision. Building on these results, we then show how modest but consistent racial effects on policy choices concatenate to produce large disparities in the overall policy regimes that racial groups encounter in the federal sy"&amp;"stem. The empirical findings illuminate the fundamental role that federalism plays in the production of contemporary racial disparities and in the recent turn toward neoliberal and paternalist policies in American poverty governance.")</f>
        <v>In this article, we seek to advance scholarship on the origins and consequences of policy devolution by analyzing state decisions to give local authorities control over welfare policy. The first part of our analysis explores the political forces that systematically influence state decisions to cede policy control to lower-level jurisdictions. In this context, we propose a general Racial Classification Model of how race influences social policy choice. Our findings support this model as well as social control perspectives on welfare provision. Building on these results, we then show how modest but consistent racial effects on policy choices concatenate to produce large disparities in the overall policy regimes that racial groups encounter in the federal system. The empirical findings illuminate the fundamental role that federalism plays in the production of contemporary racial disparities and in the recent turn toward neoliberal and paternalist policies in American poverty governance.</v>
      </c>
      <c r="C50" s="52"/>
      <c r="D50" s="48" t="b">
        <f t="shared" ref="D50:I50" si="145">VLOOKUP($A50, INDIRECT(D$1&amp;"!A:C"), 3, FALSE)</f>
        <v>1</v>
      </c>
      <c r="E50" s="48" t="str">
        <f t="shared" si="145"/>
        <v>TO DO</v>
      </c>
      <c r="F50" s="48" t="b">
        <f t="shared" si="145"/>
        <v>1</v>
      </c>
      <c r="G50" s="48" t="str">
        <f t="shared" si="145"/>
        <v>TO DO</v>
      </c>
      <c r="H50" s="48" t="b">
        <f t="shared" si="145"/>
        <v>1</v>
      </c>
      <c r="I50" s="48" t="b">
        <f t="shared" si="145"/>
        <v>1</v>
      </c>
      <c r="J50" s="49">
        <f t="shared" si="4"/>
        <v>1</v>
      </c>
      <c r="K50" s="50" t="str">
        <f t="shared" ref="K50:L50" si="146">VLOOKUP($A50, INDIRECT(K$1&amp;"!A:D"), 4, FALSE)</f>
        <v/>
      </c>
      <c r="L50" s="50" t="str">
        <f t="shared" si="146"/>
        <v/>
      </c>
      <c r="M50" s="50"/>
      <c r="N50" s="50" t="str">
        <f t="shared" ref="N50:P50" si="147">VLOOKUP($A50, INDIRECT(N$1&amp;"!A:D"), 4, FALSE)</f>
        <v/>
      </c>
      <c r="O50" s="50" t="str">
        <f t="shared" si="147"/>
        <v/>
      </c>
      <c r="P50" s="50" t="str">
        <f t="shared" si="147"/>
        <v/>
      </c>
      <c r="Q50" s="49" t="str">
        <f>IFERROR(__xludf.DUMMYFUNCTION("IF(COUNTA(K50:P50)=0, """", ARRAYFORMULA(""- ""&amp;TEXTJOIN(char(10)&amp;""- "", TRUE, FILTER(K$1:P$1&amp;"": ""&amp;K50:P50, NOT(ISBLANK(K50:P50))))))"),"")</f>
        <v/>
      </c>
      <c r="R50" s="49" t="s">
        <v>473</v>
      </c>
      <c r="S50" s="51" t="b">
        <v>1</v>
      </c>
    </row>
    <row r="51">
      <c r="A51" s="12" t="str">
        <f>IFERROR(__xludf.DUMMYFUNCTION("""COMPUTED_VALUE"""),"99c6b6088f9432400a510cdf9cb6570d")</f>
        <v>99c6b6088f9432400a510cdf9cb6570d</v>
      </c>
      <c r="B51" s="12" t="str">
        <f>IFERROR(__xludf.DUMMYFUNCTION("""COMPUTED_VALUE"""),"Objective: The study's objectives were to characterize the participation of patients in nursing care and in choosing integrative and complementary therapies, and then to analyze this participation from the perspective of nursing care ethics. Method: Quali"&amp;"tative research conducted with patients receiving ICT in public health facilities where there are nurses to apply these therapies. Approved by the Institutional Review Boards of the facilities involved. The sensitive creative method and discourse analysis"&amp;" were used. Results: When the autonomy and participation of subjects were considered as citizenship issues, the discussion concerning their right to choose among services provided is resumed. The right as an ethical condition implies having appropriate ac"&amp;"cess to information regarding different therapeutic possibilities, this depends on broadening the subjects' understanding and how they act upon the world and themselves. Conclusion: It is important not to lose sight of the ICT essence of integrality, its "&amp;"principles and purposes.")</f>
        <v>Objective: The study's objectives were to characterize the participation of patients in nursing care and in choosing integrative and complementary therapies, and then to analyze this participation from the perspective of nursing care ethics. Method: Qualitative research conducted with patients receiving ICT in public health facilities where there are nurses to apply these therapies. Approved by the Institutional Review Boards of the facilities involved. The sensitive creative method and discourse analysis were used. Results: When the autonomy and participation of subjects were considered as citizenship issues, the discussion concerning their right to choose among services provided is resumed. The right as an ethical condition implies having appropriate access to information regarding different therapeutic possibilities, this depends on broadening the subjects' understanding and how they act upon the world and themselves. Conclusion: It is important not to lose sight of the ICT essence of integrality, its principles and purposes.</v>
      </c>
      <c r="C51" s="7" t="s">
        <v>487</v>
      </c>
      <c r="D51" s="48" t="str">
        <f t="shared" ref="D51:I51" si="148">VLOOKUP($A51, INDIRECT(D$1&amp;"!A:C"), 3, FALSE)</f>
        <v>SKIP</v>
      </c>
      <c r="E51" s="48" t="str">
        <f t="shared" si="148"/>
        <v>TO DO</v>
      </c>
      <c r="F51" s="48" t="b">
        <f t="shared" si="148"/>
        <v>0</v>
      </c>
      <c r="G51" s="48" t="str">
        <f t="shared" si="148"/>
        <v>TO DO</v>
      </c>
      <c r="H51" s="48" t="b">
        <f t="shared" si="148"/>
        <v>0</v>
      </c>
      <c r="I51" s="48" t="b">
        <f t="shared" si="148"/>
        <v>0</v>
      </c>
      <c r="J51" s="49">
        <f t="shared" si="4"/>
        <v>0.75</v>
      </c>
      <c r="K51" s="50" t="str">
        <f t="shared" ref="K51:L51" si="149">VLOOKUP($A51, INDIRECT(K$1&amp;"!A:D"), 4, FALSE)</f>
        <v>I don't really understand</v>
      </c>
      <c r="L51" s="50" t="str">
        <f t="shared" si="149"/>
        <v/>
      </c>
      <c r="M51" s="50"/>
      <c r="N51" s="50" t="str">
        <f t="shared" ref="N51:P51" si="150">VLOOKUP($A51, INDIRECT(N$1&amp;"!A:D"), 4, FALSE)</f>
        <v/>
      </c>
      <c r="O51" s="50" t="str">
        <f t="shared" si="150"/>
        <v/>
      </c>
      <c r="P51" s="50" t="str">
        <f t="shared" si="150"/>
        <v/>
      </c>
      <c r="Q51" s="49" t="str">
        <f>IFERROR(__xludf.DUMMYFUNCTION("IF(COUNTA(K51:P51)=0, """", ARRAYFORMULA(""- ""&amp;TEXTJOIN(char(10)&amp;""- "", TRUE, FILTER(K$1:P$1&amp;"": ""&amp;K51:P51, NOT(ISBLANK(K51:P51))))))"),"- Finn: I don't really understand")</f>
        <v>- Finn: I don't really understand</v>
      </c>
      <c r="R51" s="49" t="s">
        <v>498</v>
      </c>
      <c r="S51" s="54" t="b">
        <v>0</v>
      </c>
      <c r="T51" s="5" t="s">
        <v>499</v>
      </c>
    </row>
    <row r="52">
      <c r="A52" s="12" t="str">
        <f>IFERROR(__xludf.DUMMYFUNCTION("""COMPUTED_VALUE"""),"75e0da334986a894eb41b33b0892e7db")</f>
        <v>75e0da334986a894eb41b33b0892e7db</v>
      </c>
      <c r="B52" s="12" t="str">
        <f>IFERROR(__xludf.DUMMYFUNCTION("""COMPUTED_VALUE"""),"Administrative data from North Carolina are used to explore the extent to which that state's relatively sophisticated school-based accountability system has exacerbated the challenges that schools serving low-performing students face in retaining and attr"&amp;"acting high-quality teachers. Most clear are the adverse effects on retention rates, and hence on teacher turnover, in such schools. Less clear is the extent to which that higher turnover has translated into a decline in the average qualifications of the "&amp;"teachers in the low-performing schools. Other states with more primitive accountability systems can expect even greater adverse effects on teacher turnover in low-performing schools. © 2004 by the Association for Public Policy Analysis and Management.")</f>
        <v>Administrative data from North Carolina are used to explore the extent to which that state's relatively sophisticated school-based accountability system has exacerbated the challenges that schools serving low-performing students face in retaining and attracting high-quality teachers. Most clear are the adverse effects on retention rates, and hence on teacher turnover, in such schools. Less clear is the extent to which that higher turnover has translated into a decline in the average qualifications of the teachers in the low-performing schools. Other states with more primitive accountability systems can expect even greater adverse effects on teacher turnover in low-performing schools. © 2004 by the Association for Public Policy Analysis and Management.</v>
      </c>
      <c r="C52" s="52"/>
      <c r="D52" s="48" t="b">
        <f t="shared" ref="D52:I52" si="151">VLOOKUP($A52, INDIRECT(D$1&amp;"!A:C"), 3, FALSE)</f>
        <v>0</v>
      </c>
      <c r="E52" s="48" t="str">
        <f t="shared" si="151"/>
        <v>TO DO</v>
      </c>
      <c r="F52" s="48" t="b">
        <f t="shared" si="151"/>
        <v>0</v>
      </c>
      <c r="G52" s="48" t="str">
        <f t="shared" si="151"/>
        <v>TO DO</v>
      </c>
      <c r="H52" s="48" t="b">
        <f t="shared" si="151"/>
        <v>0</v>
      </c>
      <c r="I52" s="48" t="b">
        <f t="shared" si="151"/>
        <v>0</v>
      </c>
      <c r="J52" s="49">
        <f t="shared" si="4"/>
        <v>1</v>
      </c>
      <c r="K52" s="50" t="str">
        <f t="shared" ref="K52:L52" si="152">VLOOKUP($A52, INDIRECT(K$1&amp;"!A:D"), 4, FALSE)</f>
        <v/>
      </c>
      <c r="L52" s="50" t="str">
        <f t="shared" si="152"/>
        <v/>
      </c>
      <c r="M52" s="50"/>
      <c r="N52" s="50" t="str">
        <f t="shared" ref="N52:P52" si="153">VLOOKUP($A52, INDIRECT(N$1&amp;"!A:D"), 4, FALSE)</f>
        <v/>
      </c>
      <c r="O52" s="50" t="str">
        <f t="shared" si="153"/>
        <v/>
      </c>
      <c r="P52" s="50" t="str">
        <f t="shared" si="153"/>
        <v>not sure schools fall under institutions SDG 16 focuses on</v>
      </c>
      <c r="Q52" s="49" t="str">
        <f>IFERROR(__xludf.DUMMYFUNCTION("IF(COUNTA(K52:P52)=0, """", ARRAYFORMULA(""- ""&amp;TEXTJOIN(char(10)&amp;""- "", TRUE, FILTER(K$1:P$1&amp;"": ""&amp;K52:P52, NOT(ISBLANK(K52:P52))))))"),"- Steve: not sure schools fall under institutions SDG 16 focuses on")</f>
        <v>- Steve: not sure schools fall under institutions SDG 16 focuses on</v>
      </c>
      <c r="R52" s="49" t="s">
        <v>500</v>
      </c>
      <c r="S52" s="51" t="b">
        <v>0</v>
      </c>
    </row>
    <row r="53">
      <c r="A53" s="12" t="str">
        <f>IFERROR(__xludf.DUMMYFUNCTION("""COMPUTED_VALUE"""),"e0368a0942295acb5fb7f58398437a5e")</f>
        <v>e0368a0942295acb5fb7f58398437a5e</v>
      </c>
      <c r="B53" s="12" t="str">
        <f>IFERROR(__xludf.DUMMYFUNCTION("""COMPUTED_VALUE"""),"Modern constitutional law has developed various means of supervising and guaranteeing the effective implementation of the constitution. The principal means of judicial control of constitutionality is judicial review of the constitutionality of legislation"&amp;" enacted by Parliament, or constitutional judicial review. This has become a dominant feature of modern constitutionalism, and recent decades have seen a global expansion of such judicial review mechanisms. This article considers the phenomenon and instit"&amp;"ution of constitutional judicial review from historical and comparative perspectives. The different models, structures and forms of constitutional judicial review are discussed with reference to the historical contexts in which they have evolved, their mo"&amp;"des of operation and their underlying rationales. The possible tension between constitutional judicial review and democracy is also considered.")</f>
        <v>Modern constitutional law has developed various means of supervising and guaranteeing the effective implementation of the constitution. The principal means of judicial control of constitutionality is judicial review of the constitutionality of legislation enacted by Parliament, or constitutional judicial review. This has become a dominant feature of modern constitutionalism, and recent decades have seen a global expansion of such judicial review mechanisms. This article considers the phenomenon and institution of constitutional judicial review from historical and comparative perspectives. The different models, structures and forms of constitutional judicial review are discussed with reference to the historical contexts in which they have evolved, their modes of operation and their underlying rationales. The possible tension between constitutional judicial review and democracy is also considered.</v>
      </c>
      <c r="C53" s="7"/>
      <c r="D53" s="48" t="b">
        <f t="shared" ref="D53:I53" si="154">VLOOKUP($A53, INDIRECT(D$1&amp;"!A:C"), 3, FALSE)</f>
        <v>1</v>
      </c>
      <c r="E53" s="48" t="str">
        <f t="shared" si="154"/>
        <v>TO DO</v>
      </c>
      <c r="F53" s="48" t="b">
        <f t="shared" si="154"/>
        <v>1</v>
      </c>
      <c r="G53" s="48" t="str">
        <f t="shared" si="154"/>
        <v>TO DO</v>
      </c>
      <c r="H53" s="48" t="b">
        <f t="shared" si="154"/>
        <v>1</v>
      </c>
      <c r="I53" s="48" t="b">
        <f t="shared" si="154"/>
        <v>1</v>
      </c>
      <c r="J53" s="49">
        <f t="shared" si="4"/>
        <v>1</v>
      </c>
      <c r="K53" s="50" t="str">
        <f t="shared" ref="K53:L53" si="155">VLOOKUP($A53, INDIRECT(K$1&amp;"!A:D"), 4, FALSE)</f>
        <v/>
      </c>
      <c r="L53" s="50" t="str">
        <f t="shared" si="155"/>
        <v/>
      </c>
      <c r="M53" s="50"/>
      <c r="N53" s="50" t="str">
        <f t="shared" ref="N53:P53" si="156">VLOOKUP($A53, INDIRECT(N$1&amp;"!A:D"), 4, FALSE)</f>
        <v/>
      </c>
      <c r="O53" s="50" t="str">
        <f t="shared" si="156"/>
        <v/>
      </c>
      <c r="P53" s="50" t="str">
        <f t="shared" si="156"/>
        <v/>
      </c>
      <c r="Q53" s="49" t="str">
        <f>IFERROR(__xludf.DUMMYFUNCTION("IF(COUNTA(K53:P53)=0, """", ARRAYFORMULA(""- ""&amp;TEXTJOIN(char(10)&amp;""- "", TRUE, FILTER(K$1:P$1&amp;"": ""&amp;K53:P53, NOT(ISBLANK(K53:P53))))))"),"")</f>
        <v/>
      </c>
      <c r="R53" s="49" t="s">
        <v>473</v>
      </c>
      <c r="S53" s="51" t="b">
        <v>1</v>
      </c>
    </row>
    <row r="54">
      <c r="A54" s="12" t="str">
        <f>IFERROR(__xludf.DUMMYFUNCTION("""COMPUTED_VALUE"""),"2de4ad3e5963b0df23a167d020f250f8")</f>
        <v>2de4ad3e5963b0df23a167d020f250f8</v>
      </c>
      <c r="B54" s="12" t="str">
        <f>IFERROR(__xludf.DUMMYFUNCTION("""COMPUTED_VALUE"""),"Supranational human rights bodies are generally moving away from a practice of issuing declaratory orders and deferring to the state on the means to comply with their decisions to the issuance of more specific reparation orders, including requiring guaran"&amp;"tees of non-repetition such as law reform at the national level. Notwithstanding this general evolution, in this article I suggest that they have not had as significant an impact on strengthening the national remedial framework where torture is alleged. F"&amp;"ocusing on the practice and jurisprudence of the European Court, I identify key factors that support this finding and suggest ways in which they can do more to accommodate the objective of strengthening the national remedial framework for torture while co"&amp;"ntinuing to prioritise their role as forums for individual access to justice.")</f>
        <v>Supranational human rights bodies are generally moving away from a practice of issuing declaratory orders and deferring to the state on the means to comply with their decisions to the issuance of more specific reparation orders, including requiring guarantees of non-repetition such as law reform at the national level. Notwithstanding this general evolution, in this article I suggest that they have not had as significant an impact on strengthening the national remedial framework where torture is alleged. Focusing on the practice and jurisprudence of the European Court, I identify key factors that support this finding and suggest ways in which they can do more to accommodate the objective of strengthening the national remedial framework for torture while continuing to prioritise their role as forums for individual access to justice.</v>
      </c>
      <c r="C54" s="52"/>
      <c r="D54" s="48" t="b">
        <f t="shared" ref="D54:I54" si="157">VLOOKUP($A54, INDIRECT(D$1&amp;"!A:C"), 3, FALSE)</f>
        <v>1</v>
      </c>
      <c r="E54" s="48" t="str">
        <f t="shared" si="157"/>
        <v>TO DO</v>
      </c>
      <c r="F54" s="48" t="b">
        <f t="shared" si="157"/>
        <v>1</v>
      </c>
      <c r="G54" s="48" t="str">
        <f t="shared" si="157"/>
        <v>TO DO</v>
      </c>
      <c r="H54" s="48" t="b">
        <f t="shared" si="157"/>
        <v>1</v>
      </c>
      <c r="I54" s="48" t="b">
        <f t="shared" si="157"/>
        <v>1</v>
      </c>
      <c r="J54" s="49">
        <f t="shared" si="4"/>
        <v>1</v>
      </c>
      <c r="K54" s="50" t="str">
        <f t="shared" ref="K54:L54" si="158">VLOOKUP($A54, INDIRECT(K$1&amp;"!A:D"), 4, FALSE)</f>
        <v/>
      </c>
      <c r="L54" s="50" t="str">
        <f t="shared" si="158"/>
        <v/>
      </c>
      <c r="M54" s="50"/>
      <c r="N54" s="50" t="str">
        <f t="shared" ref="N54:P54" si="159">VLOOKUP($A54, INDIRECT(N$1&amp;"!A:D"), 4, FALSE)</f>
        <v/>
      </c>
      <c r="O54" s="50" t="str">
        <f t="shared" si="159"/>
        <v/>
      </c>
      <c r="P54" s="50" t="str">
        <f t="shared" si="159"/>
        <v/>
      </c>
      <c r="Q54" s="49" t="str">
        <f>IFERROR(__xludf.DUMMYFUNCTION("IF(COUNTA(K54:P54)=0, """", ARRAYFORMULA(""- ""&amp;TEXTJOIN(char(10)&amp;""- "", TRUE, FILTER(K$1:P$1&amp;"": ""&amp;K54:P54, NOT(ISBLANK(K54:P54))))))"),"")</f>
        <v/>
      </c>
      <c r="R54" s="49" t="s">
        <v>473</v>
      </c>
      <c r="S54" s="51" t="b">
        <v>1</v>
      </c>
    </row>
    <row r="55">
      <c r="A55" s="12" t="str">
        <f>IFERROR(__xludf.DUMMYFUNCTION("""COMPUTED_VALUE"""),"61f37596a88dc70d6df7129b5e72841d")</f>
        <v>61f37596a88dc70d6df7129b5e72841d</v>
      </c>
      <c r="B55" s="12" t="str">
        <f>IFERROR(__xludf.DUMMYFUNCTION("""COMPUTED_VALUE"""),"Significant advances in science should be given to addressing the needs of society and the historical context of the territories. Although technological developments that began with modernity and the industrial revolution allowed human beings to control t"&amp;"he resources of nature to put to your service without limits, it is clear that the crisis of the prevailing development models manifest themselves in many ways but with three common denominators: environmental degradation, social injustice and extreme pov"&amp;"erty. Consequently, today should not be possible to think a breakthrough in the development of science without addressing global environmental problems and the deep social injustices that increase at all scales under the gaze, impassively in many occasion"&amp;"s, of formal science. Article history:")</f>
        <v>Significant advances in science should be given to addressing the needs of society and the historical context of the territories. Although technological developments that began with modernity and the industrial revolution allowed human beings to control the resources of nature to put to your service without limits, it is clear that the crisis of the prevailing development models manifest themselves in many ways but with three common denominators: environmental degradation, social injustice and extreme poverty. Consequently, today should not be possible to think a breakthrough in the development of science without addressing global environmental problems and the deep social injustices that increase at all scales under the gaze, impassively in many occasions, of formal science. Article history:</v>
      </c>
      <c r="C55" s="53" t="s">
        <v>483</v>
      </c>
      <c r="D55" s="48" t="b">
        <f t="shared" ref="D55:I55" si="160">VLOOKUP($A55, INDIRECT(D$1&amp;"!A:C"), 3, FALSE)</f>
        <v>0</v>
      </c>
      <c r="E55" s="48" t="str">
        <f t="shared" si="160"/>
        <v>TO DO</v>
      </c>
      <c r="F55" s="48" t="b">
        <f t="shared" si="160"/>
        <v>0</v>
      </c>
      <c r="G55" s="48" t="str">
        <f t="shared" si="160"/>
        <v>TO DO</v>
      </c>
      <c r="H55" s="48" t="b">
        <f t="shared" si="160"/>
        <v>1</v>
      </c>
      <c r="I55" s="48" t="b">
        <f t="shared" si="160"/>
        <v>0</v>
      </c>
      <c r="J55" s="49">
        <f t="shared" si="4"/>
        <v>0.5</v>
      </c>
      <c r="K55" s="50" t="str">
        <f t="shared" ref="K55:L55" si="161">VLOOKUP($A55, INDIRECT(K$1&amp;"!A:D"), 4, FALSE)</f>
        <v/>
      </c>
      <c r="L55" s="50" t="str">
        <f t="shared" si="161"/>
        <v/>
      </c>
      <c r="M55" s="50"/>
      <c r="N55" s="50" t="str">
        <f t="shared" ref="N55:P55" si="162">VLOOKUP($A55, INDIRECT(N$1&amp;"!A:D"), 4, FALSE)</f>
        <v/>
      </c>
      <c r="O55" s="50" t="str">
        <f t="shared" si="162"/>
        <v/>
      </c>
      <c r="P55" s="50" t="str">
        <f t="shared" si="162"/>
        <v/>
      </c>
      <c r="Q55" s="49" t="str">
        <f>IFERROR(__xludf.DUMMYFUNCTION("IF(COUNTA(K55:P55)=0, """", ARRAYFORMULA(""- ""&amp;TEXTJOIN(char(10)&amp;""- "", TRUE, FILTER(K$1:P$1&amp;"": ""&amp;K55:P55, NOT(ISBLANK(K55:P55))))))"),"")</f>
        <v/>
      </c>
      <c r="R55" s="49" t="s">
        <v>473</v>
      </c>
      <c r="S55" s="51" t="s">
        <v>476</v>
      </c>
    </row>
    <row r="56">
      <c r="A56" s="12" t="str">
        <f>IFERROR(__xludf.DUMMYFUNCTION("""COMPUTED_VALUE"""),"5cf141d14a9182b9351776dd052a7826")</f>
        <v>5cf141d14a9182b9351776dd052a7826</v>
      </c>
      <c r="B56" s="12" t="str">
        <f>IFERROR(__xludf.DUMMYFUNCTION("""COMPUTED_VALUE"""),"What are the ethical implications of the shortcomings of liberal peacebuilding operations? This article addresses the problem by investigating the normative premises of liberal peacebuilding and its critics. Three ideal types of peacebuilding are singled "&amp;"out to illuminate the normative logic of current ‘revisionist’ proposals. These are: ‘re-liberal peacebuilding’ which prescribes a more coercive approach, ‘social peacebuilding’ that emphasizes local agency and the promotion of socioeconomic rights, and ‘"&amp;"multicultural peacebuilding’ that roots peace in indigenous norms and institutions. These alternatives are assessed with regard to their ability to promote both the autonomy and the basic needs of the affected population. It is concluded that only ‘social"&amp;" peacebuilding’ passes this test. It exemplifies a model of global governance where a cosmopolitan human rights agenda is consistent with the communitarian defence of political autonomy and cultural diversity.")</f>
        <v>What are the ethical implications of the shortcomings of liberal peacebuilding operations? This article addresses the problem by investigating the normative premises of liberal peacebuilding and its critics. Three ideal types of peacebuilding are singled out to illuminate the normative logic of current ‘revisionist’ proposals. These are: ‘re-liberal peacebuilding’ which prescribes a more coercive approach, ‘social peacebuilding’ that emphasizes local agency and the promotion of socioeconomic rights, and ‘multicultural peacebuilding’ that roots peace in indigenous norms and institutions. These alternatives are assessed with regard to their ability to promote both the autonomy and the basic needs of the affected population. It is concluded that only ‘social peacebuilding’ passes this test. It exemplifies a model of global governance where a cosmopolitan human rights agenda is consistent with the communitarian defence of political autonomy and cultural diversity.</v>
      </c>
      <c r="C56" s="48"/>
      <c r="D56" s="48" t="b">
        <f t="shared" ref="D56:I56" si="163">VLOOKUP($A56, INDIRECT(D$1&amp;"!A:C"), 3, FALSE)</f>
        <v>1</v>
      </c>
      <c r="E56" s="48" t="str">
        <f t="shared" si="163"/>
        <v>TO DO</v>
      </c>
      <c r="F56" s="48" t="b">
        <f t="shared" si="163"/>
        <v>1</v>
      </c>
      <c r="G56" s="48" t="str">
        <f t="shared" si="163"/>
        <v>TO DO</v>
      </c>
      <c r="H56" s="48" t="b">
        <f t="shared" si="163"/>
        <v>1</v>
      </c>
      <c r="I56" s="48" t="b">
        <f t="shared" si="163"/>
        <v>1</v>
      </c>
      <c r="J56" s="49">
        <f t="shared" si="4"/>
        <v>1</v>
      </c>
      <c r="K56" s="50" t="str">
        <f t="shared" ref="K56:L56" si="164">VLOOKUP($A56, INDIRECT(K$1&amp;"!A:D"), 4, FALSE)</f>
        <v/>
      </c>
      <c r="L56" s="50" t="str">
        <f t="shared" si="164"/>
        <v/>
      </c>
      <c r="M56" s="50"/>
      <c r="N56" s="50" t="str">
        <f t="shared" ref="N56:P56" si="165">VLOOKUP($A56, INDIRECT(N$1&amp;"!A:D"), 4, FALSE)</f>
        <v/>
      </c>
      <c r="O56" s="50" t="str">
        <f t="shared" si="165"/>
        <v/>
      </c>
      <c r="P56" s="50" t="str">
        <f t="shared" si="165"/>
        <v/>
      </c>
      <c r="Q56" s="49" t="str">
        <f>IFERROR(__xludf.DUMMYFUNCTION("IF(COUNTA(K56:P56)=0, """", ARRAYFORMULA(""- ""&amp;TEXTJOIN(char(10)&amp;""- "", TRUE, FILTER(K$1:P$1&amp;"": ""&amp;K56:P56, NOT(ISBLANK(K56:P56))))))"),"")</f>
        <v/>
      </c>
      <c r="R56" s="49" t="s">
        <v>473</v>
      </c>
      <c r="S56" s="51" t="b">
        <v>1</v>
      </c>
    </row>
    <row r="57">
      <c r="A57" s="12" t="str">
        <f>IFERROR(__xludf.DUMMYFUNCTION("""COMPUTED_VALUE"""),"f85c3316dbd5971e92b1d82bb0d4e64d")</f>
        <v>f85c3316dbd5971e92b1d82bb0d4e64d</v>
      </c>
      <c r="B57" s="12" t="str">
        <f>IFERROR(__xludf.DUMMYFUNCTION("""COMPUTED_VALUE"""),"The study examined the effect of e-government on service delivery in Federal University Ndufu-Alike Ikwo, Ebonyi State Nigeria. Descriptive research design was adopted to guide the study, two hypotheses were formulated and tested. Chisquare non-parametric"&amp;" statistics was used to test the hypotheses. The study revealed among other things that e-government has strong positive effect on service delivery by enhancing the performance of workers. This is because the use of ICT in work-relate activities reduces w"&amp;"aste of time, delays and mistakes on the part of workers in the discharge of their duties. Based on this, recommendations were made major among them is that the Institution should improve on the current ICT infrastructure and strategy and continue to impr"&amp;"ove on the internet access and digital divide among staff in order to continue achieving their organizational goals")</f>
        <v>The study examined the effect of e-government on service delivery in Federal University Ndufu-Alike Ikwo, Ebonyi State Nigeria. Descriptive research design was adopted to guide the study, two hypotheses were formulated and tested. Chisquare non-parametric statistics was used to test the hypotheses. The study revealed among other things that e-government has strong positive effect on service delivery by enhancing the performance of workers. This is because the use of ICT in work-relate activities reduces waste of time, delays and mistakes on the part of workers in the discharge of their duties. Based on this, recommendations were made major among them is that the Institution should improve on the current ICT infrastructure and strategy and continue to improve on the internet access and digital divide among staff in order to continue achieving their organizational goals</v>
      </c>
      <c r="C57" s="7" t="s">
        <v>474</v>
      </c>
      <c r="D57" s="48" t="b">
        <f t="shared" ref="D57:I57" si="166">VLOOKUP($A57, INDIRECT(D$1&amp;"!A:C"), 3, FALSE)</f>
        <v>1</v>
      </c>
      <c r="E57" s="48" t="str">
        <f t="shared" si="166"/>
        <v>TO DO</v>
      </c>
      <c r="F57" s="48" t="b">
        <f t="shared" si="166"/>
        <v>1</v>
      </c>
      <c r="G57" s="48" t="str">
        <f t="shared" si="166"/>
        <v>TO DO</v>
      </c>
      <c r="H57" s="48" t="b">
        <f t="shared" si="166"/>
        <v>0</v>
      </c>
      <c r="I57" s="48" t="b">
        <f t="shared" si="166"/>
        <v>0</v>
      </c>
      <c r="J57" s="49">
        <f t="shared" si="4"/>
        <v>0</v>
      </c>
      <c r="K57" s="50" t="str">
        <f t="shared" ref="K57:L57" si="167">VLOOKUP($A57, INDIRECT(K$1&amp;"!A:D"), 4, FALSE)</f>
        <v/>
      </c>
      <c r="L57" s="50" t="str">
        <f t="shared" si="167"/>
        <v/>
      </c>
      <c r="M57" s="50"/>
      <c r="N57" s="50" t="str">
        <f t="shared" ref="N57:P57" si="168">VLOOKUP($A57, INDIRECT(N$1&amp;"!A:D"), 4, FALSE)</f>
        <v/>
      </c>
      <c r="O57" s="50" t="str">
        <f t="shared" si="168"/>
        <v/>
      </c>
      <c r="P57" s="50" t="str">
        <f t="shared" si="168"/>
        <v>more responsive decision making enough to link to 16.7?</v>
      </c>
      <c r="Q57" s="49" t="str">
        <f>IFERROR(__xludf.DUMMYFUNCTION("IF(COUNTA(K57:P57)=0, """", ARRAYFORMULA(""- ""&amp;TEXTJOIN(char(10)&amp;""- "", TRUE, FILTER(K$1:P$1&amp;"": ""&amp;K57:P57, NOT(ISBLANK(K57:P57))))))"),"- Steve: more responsive decision making enough to link to 16.7?")</f>
        <v>- Steve: more responsive decision making enough to link to 16.7?</v>
      </c>
      <c r="R57" s="49" t="s">
        <v>501</v>
      </c>
      <c r="S57" s="51" t="s">
        <v>476</v>
      </c>
    </row>
    <row r="58">
      <c r="A58" s="12" t="str">
        <f>IFERROR(__xludf.DUMMYFUNCTION("""COMPUTED_VALUE"""),"51c78c35876b8ae1987d7015f00c3cad")</f>
        <v>51c78c35876b8ae1987d7015f00c3cad</v>
      </c>
      <c r="B58" s="12" t="str">
        <f>IFERROR(__xludf.DUMMYFUNCTION("""COMPUTED_VALUE"""),"From the analysis of the reasons in the The Gambia v. Myanmar case, which discusses in the International Court of Justice the application of the Convention on the Prevention and Punishment of the Crime of Genocide, in the face of the genocidal acts agains"&amp;"t the Burmese Rohingya, attributable to the government of Myanmar, this paper supports the hypothesis that there would be a certain influence of the Ubuntu philosophy in Gambia’s decision to refer the case to international justice. The values inherent in "&amp;"Ubuntu, such as the need to promote justice, peace and interdependence among human beings universally, would be able to explain, at least in part, both Gambia’s transcontinental empathy for the Rohingya people and the reasons why the country mobilized res"&amp;"ources to bring the debate about the genocide of that people to the jurisdiction of the ICJ, even though the case did not directly affect their sovereign interests.")</f>
        <v>From the analysis of the reasons in the The Gambia v. Myanmar case, which discusses in the International Court of Justice the application of the Convention on the Prevention and Punishment of the Crime of Genocide, in the face of the genocidal acts against the Burmese Rohingya, attributable to the government of Myanmar, this paper supports the hypothesis that there would be a certain influence of the Ubuntu philosophy in Gambia’s decision to refer the case to international justice. The values inherent in Ubuntu, such as the need to promote justice, peace and interdependence among human beings universally, would be able to explain, at least in part, both Gambia’s transcontinental empathy for the Rohingya people and the reasons why the country mobilized resources to bring the debate about the genocide of that people to the jurisdiction of the ICJ, even though the case did not directly affect their sovereign interests.</v>
      </c>
      <c r="C58" s="7"/>
      <c r="D58" s="48" t="b">
        <f t="shared" ref="D58:I58" si="169">VLOOKUP($A58, INDIRECT(D$1&amp;"!A:C"), 3, FALSE)</f>
        <v>1</v>
      </c>
      <c r="E58" s="48" t="str">
        <f t="shared" si="169"/>
        <v>TO DO</v>
      </c>
      <c r="F58" s="48" t="b">
        <f t="shared" si="169"/>
        <v>1</v>
      </c>
      <c r="G58" s="48" t="str">
        <f t="shared" si="169"/>
        <v>TO DO</v>
      </c>
      <c r="H58" s="48" t="b">
        <f t="shared" si="169"/>
        <v>1</v>
      </c>
      <c r="I58" s="48" t="b">
        <f t="shared" si="169"/>
        <v>1</v>
      </c>
      <c r="J58" s="49">
        <f t="shared" si="4"/>
        <v>1</v>
      </c>
      <c r="K58" s="50" t="str">
        <f t="shared" ref="K58:L58" si="170">VLOOKUP($A58, INDIRECT(K$1&amp;"!A:D"), 4, FALSE)</f>
        <v/>
      </c>
      <c r="L58" s="50" t="str">
        <f t="shared" si="170"/>
        <v/>
      </c>
      <c r="M58" s="50"/>
      <c r="N58" s="50" t="str">
        <f t="shared" ref="N58:P58" si="171">VLOOKUP($A58, INDIRECT(N$1&amp;"!A:D"), 4, FALSE)</f>
        <v/>
      </c>
      <c r="O58" s="50" t="str">
        <f t="shared" si="171"/>
        <v/>
      </c>
      <c r="P58" s="50" t="str">
        <f t="shared" si="171"/>
        <v/>
      </c>
      <c r="Q58" s="49" t="str">
        <f>IFERROR(__xludf.DUMMYFUNCTION("IF(COUNTA(K58:P58)=0, """", ARRAYFORMULA(""- ""&amp;TEXTJOIN(char(10)&amp;""- "", TRUE, FILTER(K$1:P$1&amp;"": ""&amp;K58:P58, NOT(ISBLANK(K58:P58))))))"),"")</f>
        <v/>
      </c>
      <c r="R58" s="49" t="s">
        <v>473</v>
      </c>
      <c r="S58" s="51" t="b">
        <v>1</v>
      </c>
    </row>
    <row r="59">
      <c r="A59" s="12" t="str">
        <f>IFERROR(__xludf.DUMMYFUNCTION("""COMPUTED_VALUE"""),"be811285102a5001690bf33d8f907915")</f>
        <v>be811285102a5001690bf33d8f907915</v>
      </c>
      <c r="B59" s="12" t="str">
        <f>IFERROR(__xludf.DUMMYFUNCTION("""COMPUTED_VALUE"""),"This chapter explores the theoretical critiques that environmental politics attracted since the 1990s onward. Among them, building upon political ecology critique, post-environmentalist theory gained a prominent role and claimed that green diplomacy, busi"&amp;"ness, and large NGOs determined a de-politicization of environmental issues in the pursuit of establishing a widespread consensus on the mainstream strategies for global environmental governance. The origins and development of post-environmentalism are de"&amp;"scribed in the chapter, with particular attention devoted to the differences between the realist perspective of US scholars (most notably Michel Shellenberger and Ted Nordhaus, authors of the pamphlet “The Death of Environmentalism”) and the European scho"&amp;"lars, advancing a constructivist interpretation of the end of environmentalism under the name of post-ecologism.")</f>
        <v>This chapter explores the theoretical critiques that environmental politics attracted since the 1990s onward. Among them, building upon political ecology critique, post-environmentalist theory gained a prominent role and claimed that green diplomacy, business, and large NGOs determined a de-politicization of environmental issues in the pursuit of establishing a widespread consensus on the mainstream strategies for global environmental governance. The origins and development of post-environmentalism are described in the chapter, with particular attention devoted to the differences between the realist perspective of US scholars (most notably Michel Shellenberger and Ted Nordhaus, authors of the pamphlet “The Death of Environmentalism”) and the European scholars, advancing a constructivist interpretation of the end of environmentalism under the name of post-ecologism.</v>
      </c>
      <c r="C59" s="53" t="s">
        <v>483</v>
      </c>
      <c r="D59" s="48" t="b">
        <f t="shared" ref="D59:I59" si="172">VLOOKUP($A59, INDIRECT(D$1&amp;"!A:C"), 3, FALSE)</f>
        <v>1</v>
      </c>
      <c r="E59" s="48" t="str">
        <f t="shared" si="172"/>
        <v>TO DO</v>
      </c>
      <c r="F59" s="48" t="b">
        <f t="shared" si="172"/>
        <v>0</v>
      </c>
      <c r="G59" s="48" t="str">
        <f t="shared" si="172"/>
        <v>TO DO</v>
      </c>
      <c r="H59" s="48" t="b">
        <f t="shared" si="172"/>
        <v>0</v>
      </c>
      <c r="I59" s="48" t="b">
        <f t="shared" si="172"/>
        <v>0</v>
      </c>
      <c r="J59" s="49">
        <f t="shared" si="4"/>
        <v>0.5</v>
      </c>
      <c r="K59" s="50" t="str">
        <f t="shared" ref="K59:L59" si="173">VLOOKUP($A59, INDIRECT(K$1&amp;"!A:D"), 4, FALSE)</f>
        <v>global governance</v>
      </c>
      <c r="L59" s="50" t="str">
        <f t="shared" si="173"/>
        <v/>
      </c>
      <c r="M59" s="50"/>
      <c r="N59" s="50" t="str">
        <f t="shared" ref="N59:P59" si="174">VLOOKUP($A59, INDIRECT(N$1&amp;"!A:D"), 4, FALSE)</f>
        <v/>
      </c>
      <c r="O59" s="50" t="str">
        <f t="shared" si="174"/>
        <v/>
      </c>
      <c r="P59" s="50" t="str">
        <f t="shared" si="174"/>
        <v/>
      </c>
      <c r="Q59" s="49" t="str">
        <f>IFERROR(__xludf.DUMMYFUNCTION("IF(COUNTA(K59:P59)=0, """", ARRAYFORMULA(""- ""&amp;TEXTJOIN(char(10)&amp;""- "", TRUE, FILTER(K$1:P$1&amp;"": ""&amp;K59:P59, NOT(ISBLANK(K59:P59))))))"),"- Finn: global governance")</f>
        <v>- Finn: global governance</v>
      </c>
      <c r="R59" s="49" t="s">
        <v>502</v>
      </c>
      <c r="S59" s="51" t="s">
        <v>476</v>
      </c>
    </row>
    <row r="60">
      <c r="A60" s="12" t="str">
        <f>IFERROR(__xludf.DUMMYFUNCTION("""COMPUTED_VALUE"""),"2ef4a400eeb6a64e630f2d331b39cdea")</f>
        <v>2ef4a400eeb6a64e630f2d331b39cdea</v>
      </c>
      <c r="B60" s="12" t="str">
        <f>IFERROR(__xludf.DUMMYFUNCTION("""COMPUTED_VALUE"""),"This paper examines the complex relationships between gender, education, extremism and security. After defining extremism and fundamentalism, it looks first at the relationship of gender to violence generally, before looking specifically at how this plays"&amp;" out in more extremist violence and terrorism. Religious fundamentalism is also shown to have gendered concerns. The paper concludes with drawing together the educational implications of these analyses, arguing for a politicised education to promote both "&amp;"national and personal security. Five components are proposed: acceptance of ambiguity rather than absolutism and single truths, a secular basis in human rights, breaking down ‘otherness’, reconciliation rather than revenge, and free speech and humour.")</f>
        <v>This paper examines the complex relationships between gender, education, extremism and security. After defining extremism and fundamentalism, it looks first at the relationship of gender to violence generally, before looking specifically at how this plays out in more extremist violence and terrorism. Religious fundamentalism is also shown to have gendered concerns. The paper concludes with drawing together the educational implications of these analyses, arguing for a politicised education to promote both national and personal security. Five components are proposed: acceptance of ambiguity rather than absolutism and single truths, a secular basis in human rights, breaking down ‘otherness’, reconciliation rather than revenge, and free speech and humour.</v>
      </c>
      <c r="C60" s="7"/>
      <c r="D60" s="48" t="b">
        <f t="shared" ref="D60:I60" si="175">VLOOKUP($A60, INDIRECT(D$1&amp;"!A:C"), 3, FALSE)</f>
        <v>1</v>
      </c>
      <c r="E60" s="48" t="str">
        <f t="shared" si="175"/>
        <v>TO DO</v>
      </c>
      <c r="F60" s="48" t="b">
        <f t="shared" si="175"/>
        <v>1</v>
      </c>
      <c r="G60" s="48" t="str">
        <f t="shared" si="175"/>
        <v>TO DO</v>
      </c>
      <c r="H60" s="48" t="b">
        <f t="shared" si="175"/>
        <v>1</v>
      </c>
      <c r="I60" s="48" t="b">
        <f t="shared" si="175"/>
        <v>1</v>
      </c>
      <c r="J60" s="49">
        <f t="shared" si="4"/>
        <v>1</v>
      </c>
      <c r="K60" s="50" t="str">
        <f t="shared" ref="K60:L60" si="176">VLOOKUP($A60, INDIRECT(K$1&amp;"!A:D"), 4, FALSE)</f>
        <v>violence</v>
      </c>
      <c r="L60" s="50" t="str">
        <f t="shared" si="176"/>
        <v/>
      </c>
      <c r="M60" s="50"/>
      <c r="N60" s="50" t="str">
        <f t="shared" ref="N60:P60" si="177">VLOOKUP($A60, INDIRECT(N$1&amp;"!A:D"), 4, FALSE)</f>
        <v/>
      </c>
      <c r="O60" s="50" t="str">
        <f t="shared" si="177"/>
        <v/>
      </c>
      <c r="P60" s="50" t="str">
        <f t="shared" si="177"/>
        <v>call to action?</v>
      </c>
      <c r="Q60" s="49" t="str">
        <f>IFERROR(__xludf.DUMMYFUNCTION("IF(COUNTA(K60:P60)=0, """", ARRAYFORMULA(""- ""&amp;TEXTJOIN(char(10)&amp;""- "", TRUE, FILTER(K$1:P$1&amp;"": ""&amp;K60:P60, NOT(ISBLANK(K60:P60))))))"),"- Finn: violence
- Steve: call to action?")</f>
        <v>- Finn: violence
- Steve: call to action?</v>
      </c>
      <c r="R60" s="49" t="s">
        <v>503</v>
      </c>
      <c r="S60" s="51" t="b">
        <v>1</v>
      </c>
    </row>
    <row r="61">
      <c r="A61" s="12" t="str">
        <f>IFERROR(__xludf.DUMMYFUNCTION("""COMPUTED_VALUE"""),"7a3eb97ae4043c9f2a9481bf4db543ca")</f>
        <v>7a3eb97ae4043c9f2a9481bf4db543ca</v>
      </c>
      <c r="B61" s="12" t="str">
        <f>IFERROR(__xludf.DUMMYFUNCTION("""COMPUTED_VALUE"""),"Testimonies of wartime sexual violence contribute to the recognition of rape as a serious human rights violation. Although acknowledgement and justice are imperative to ending silence and impunity, this article critiques some commonly held therapeutic ass"&amp;"umptions about disclosure through examining the way so-called “unspeakable” events are communicated through legal discourse. In this article, the author explores the inherent limitations of language for bearing witness to wartime rape, specifically focusi"&amp;"ng on international war crimes tribunals. The author argues that trials contribute to the impossibility of bearing witness through both the appropriation of trauma and the failure of law to accommodate traumatic experiences.")</f>
        <v>Testimonies of wartime sexual violence contribute to the recognition of rape as a serious human rights violation. Although acknowledgement and justice are imperative to ending silence and impunity, this article critiques some commonly held therapeutic assumptions about disclosure through examining the way so-called “unspeakable” events are communicated through legal discourse. In this article, the author explores the inherent limitations of language for bearing witness to wartime rape, specifically focusing on international war crimes tribunals. The author argues that trials contribute to the impossibility of bearing witness through both the appropriation of trauma and the failure of law to accommodate traumatic experiences.</v>
      </c>
      <c r="C61" s="52"/>
      <c r="D61" s="48" t="b">
        <f t="shared" ref="D61:I61" si="178">VLOOKUP($A61, INDIRECT(D$1&amp;"!A:C"), 3, FALSE)</f>
        <v>1</v>
      </c>
      <c r="E61" s="48" t="str">
        <f t="shared" si="178"/>
        <v>TO DO</v>
      </c>
      <c r="F61" s="48" t="b">
        <f t="shared" si="178"/>
        <v>1</v>
      </c>
      <c r="G61" s="48" t="str">
        <f t="shared" si="178"/>
        <v>TO DO</v>
      </c>
      <c r="H61" s="48" t="b">
        <f t="shared" si="178"/>
        <v>1</v>
      </c>
      <c r="I61" s="48" t="b">
        <f t="shared" si="178"/>
        <v>1</v>
      </c>
      <c r="J61" s="49">
        <f t="shared" si="4"/>
        <v>1</v>
      </c>
      <c r="K61" s="50" t="str">
        <f t="shared" ref="K61:L61" si="179">VLOOKUP($A61, INDIRECT(K$1&amp;"!A:D"), 4, FALSE)</f>
        <v/>
      </c>
      <c r="L61" s="50" t="str">
        <f t="shared" si="179"/>
        <v/>
      </c>
      <c r="M61" s="50"/>
      <c r="N61" s="50" t="str">
        <f t="shared" ref="N61:P61" si="180">VLOOKUP($A61, INDIRECT(N$1&amp;"!A:D"), 4, FALSE)</f>
        <v/>
      </c>
      <c r="O61" s="50" t="str">
        <f t="shared" si="180"/>
        <v/>
      </c>
      <c r="P61" s="50" t="str">
        <f t="shared" si="180"/>
        <v/>
      </c>
      <c r="Q61" s="49" t="str">
        <f>IFERROR(__xludf.DUMMYFUNCTION("IF(COUNTA(K61:P61)=0, """", ARRAYFORMULA(""- ""&amp;TEXTJOIN(char(10)&amp;""- "", TRUE, FILTER(K$1:P$1&amp;"": ""&amp;K61:P61, NOT(ISBLANK(K61:P61))))))"),"")</f>
        <v/>
      </c>
      <c r="R61" s="49" t="s">
        <v>473</v>
      </c>
      <c r="S61" s="51" t="b">
        <v>1</v>
      </c>
    </row>
    <row r="62">
      <c r="A62" s="12" t="str">
        <f>IFERROR(__xludf.DUMMYFUNCTION("""COMPUTED_VALUE"""),"0fc4a7fedfb5e9cd27418a5fba043cca")</f>
        <v>0fc4a7fedfb5e9cd27418a5fba043cca</v>
      </c>
      <c r="B62" s="12" t="str">
        <f>IFERROR(__xludf.DUMMYFUNCTION("""COMPUTED_VALUE"""),"How do we reach a wide variety of possible readers? This commentary notes various ways in which academic information has been organized on the Web, stressing the usefulness of different formats and approaches. The Social Science Research Network provides "&amp;"a way for publications to become widely known at an early stage. Such Web-based facilities for one-stop searching are needed for academics and policy makers interested in health services, health policy, public health and population health.")</f>
        <v>How do we reach a wide variety of possible readers? This commentary notes various ways in which academic information has been organized on the Web, stressing the usefulness of different formats and approaches. The Social Science Research Network provides a way for publications to become widely known at an early stage. Such Web-based facilities for one-stop searching are needed for academics and policy makers interested in health services, health policy, public health and population health.</v>
      </c>
      <c r="C62" s="52"/>
      <c r="D62" s="48" t="b">
        <f t="shared" ref="D62:I62" si="181">VLOOKUP($A62, INDIRECT(D$1&amp;"!A:C"), 3, FALSE)</f>
        <v>0</v>
      </c>
      <c r="E62" s="48" t="str">
        <f t="shared" si="181"/>
        <v>TO DO</v>
      </c>
      <c r="F62" s="48" t="b">
        <f t="shared" si="181"/>
        <v>0</v>
      </c>
      <c r="G62" s="48" t="str">
        <f t="shared" si="181"/>
        <v>TO DO</v>
      </c>
      <c r="H62" s="48" t="b">
        <f t="shared" si="181"/>
        <v>0</v>
      </c>
      <c r="I62" s="48" t="b">
        <f t="shared" si="181"/>
        <v>0</v>
      </c>
      <c r="J62" s="49">
        <f t="shared" si="4"/>
        <v>1</v>
      </c>
      <c r="K62" s="50" t="str">
        <f t="shared" ref="K62:L62" si="182">VLOOKUP($A62, INDIRECT(K$1&amp;"!A:D"), 4, FALSE)</f>
        <v/>
      </c>
      <c r="L62" s="50" t="str">
        <f t="shared" si="182"/>
        <v/>
      </c>
      <c r="M62" s="50"/>
      <c r="N62" s="50" t="str">
        <f t="shared" ref="N62:P62" si="183">VLOOKUP($A62, INDIRECT(N$1&amp;"!A:D"), 4, FALSE)</f>
        <v/>
      </c>
      <c r="O62" s="50" t="str">
        <f t="shared" si="183"/>
        <v/>
      </c>
      <c r="P62" s="50" t="str">
        <f t="shared" si="183"/>
        <v/>
      </c>
      <c r="Q62" s="49" t="str">
        <f>IFERROR(__xludf.DUMMYFUNCTION("IF(COUNTA(K62:P62)=0, """", ARRAYFORMULA(""- ""&amp;TEXTJOIN(char(10)&amp;""- "", TRUE, FILTER(K$1:P$1&amp;"": ""&amp;K62:P62, NOT(ISBLANK(K62:P62))))))"),"")</f>
        <v/>
      </c>
      <c r="R62" s="49" t="s">
        <v>473</v>
      </c>
      <c r="S62" s="51" t="b">
        <v>0</v>
      </c>
    </row>
    <row r="63">
      <c r="A63" s="12" t="str">
        <f>IFERROR(__xludf.DUMMYFUNCTION("""COMPUTED_VALUE"""),"2e6107a7c627589a4fa445071469709f")</f>
        <v>2e6107a7c627589a4fa445071469709f</v>
      </c>
      <c r="B63" s="12" t="str">
        <f>IFERROR(__xludf.DUMMYFUNCTION("""COMPUTED_VALUE"""),"Freedom of the press in the perspective of the criminal justice is the use of the provisions of the Criminal Code, it is not limitation or restraint on freedom of the press, because the provision was only a tool that is used for the testing of limitative "&amp;"conduct a press working process. Testing can be done by using specific parameters as stipulated in the convention on the freedom of information, such as the press can not be prosecuted in criminal law except when to do positive things like contempt, sedit"&amp;"ion, blasphemy, pornography, a lie news, disturb national security and public order and statements that impede the fair administration of justice. Therefore, in press freedom, presenting news must be based on features news journalist code of ethics that e"&amp;"xist")</f>
        <v>Freedom of the press in the perspective of the criminal justice is the use of the provisions of the Criminal Code, it is not limitation or restraint on freedom of the press, because the provision was only a tool that is used for the testing of limitative conduct a press working process. Testing can be done by using specific parameters as stipulated in the convention on the freedom of information, such as the press can not be prosecuted in criminal law except when to do positive things like contempt, sedition, blasphemy, pornography, a lie news, disturb national security and public order and statements that impede the fair administration of justice. Therefore, in press freedom, presenting news must be based on features news journalist code of ethics that exist</v>
      </c>
      <c r="C63" s="52"/>
      <c r="D63" s="48" t="b">
        <f t="shared" ref="D63:I63" si="184">VLOOKUP($A63, INDIRECT(D$1&amp;"!A:C"), 3, FALSE)</f>
        <v>1</v>
      </c>
      <c r="E63" s="48" t="str">
        <f t="shared" si="184"/>
        <v>TO DO</v>
      </c>
      <c r="F63" s="48" t="b">
        <f t="shared" si="184"/>
        <v>1</v>
      </c>
      <c r="G63" s="48" t="str">
        <f t="shared" si="184"/>
        <v>TO DO</v>
      </c>
      <c r="H63" s="48" t="b">
        <f t="shared" si="184"/>
        <v>1</v>
      </c>
      <c r="I63" s="48" t="b">
        <f t="shared" si="184"/>
        <v>1</v>
      </c>
      <c r="J63" s="49">
        <f t="shared" si="4"/>
        <v>1</v>
      </c>
      <c r="K63" s="50" t="str">
        <f t="shared" ref="K63:L63" si="185">VLOOKUP($A63, INDIRECT(K$1&amp;"!A:D"), 4, FALSE)</f>
        <v/>
      </c>
      <c r="L63" s="50" t="str">
        <f t="shared" si="185"/>
        <v/>
      </c>
      <c r="M63" s="50"/>
      <c r="N63" s="50" t="str">
        <f t="shared" ref="N63:P63" si="186">VLOOKUP($A63, INDIRECT(N$1&amp;"!A:D"), 4, FALSE)</f>
        <v/>
      </c>
      <c r="O63" s="50" t="str">
        <f t="shared" si="186"/>
        <v/>
      </c>
      <c r="P63" s="50" t="str">
        <f t="shared" si="186"/>
        <v/>
      </c>
      <c r="Q63" s="49" t="str">
        <f>IFERROR(__xludf.DUMMYFUNCTION("IF(COUNTA(K63:P63)=0, """", ARRAYFORMULA(""- ""&amp;TEXTJOIN(char(10)&amp;""- "", TRUE, FILTER(K$1:P$1&amp;"": ""&amp;K63:P63, NOT(ISBLANK(K63:P63))))))"),"")</f>
        <v/>
      </c>
      <c r="R63" s="49" t="s">
        <v>473</v>
      </c>
      <c r="S63" s="51" t="b">
        <v>1</v>
      </c>
    </row>
    <row r="64">
      <c r="A64" s="12" t="str">
        <f>IFERROR(__xludf.DUMMYFUNCTION("""COMPUTED_VALUE"""),"4c24d10bf89421e4c9cd7d015fb07313")</f>
        <v>4c24d10bf89421e4c9cd7d015fb07313</v>
      </c>
      <c r="B64" s="12" t="str">
        <f>IFERROR(__xludf.DUMMYFUNCTION("""COMPUTED_VALUE"""),"The first part of the chapter focuses on the legislative measures taken by the Coalition to restore civil liberties, notably under the Protection of Freedoms Act 2012. While some of the most-criticised measures taken by the New Labour governments have bee"&amp;"n repealed or limited, it is argued that these changes do little to protect civil liberties. Indeed, the latter are endangered by the as-yet unrealised promise to repeal the Human Rights Act and, most significantly, by the extensive surveillance powers of"&amp;" the British government and its allies (both political and corporate) which seriously threaten the right to privacy. The second part of the chapter focuses on crime prevention measures, concluding that very little has changed in practice since the New Lab"&amp;"our years.")</f>
        <v>The first part of the chapter focuses on the legislative measures taken by the Coalition to restore civil liberties, notably under the Protection of Freedoms Act 2012. While some of the most-criticised measures taken by the New Labour governments have been repealed or limited, it is argued that these changes do little to protect civil liberties. Indeed, the latter are endangered by the as-yet unrealised promise to repeal the Human Rights Act and, most significantly, by the extensive surveillance powers of the British government and its allies (both political and corporate) which seriously threaten the right to privacy. The second part of the chapter focuses on crime prevention measures, concluding that very little has changed in practice since the New Labour years.</v>
      </c>
      <c r="C64" s="48"/>
      <c r="D64" s="48" t="b">
        <f t="shared" ref="D64:I64" si="187">VLOOKUP($A64, INDIRECT(D$1&amp;"!A:C"), 3, FALSE)</f>
        <v>1</v>
      </c>
      <c r="E64" s="48" t="str">
        <f t="shared" si="187"/>
        <v>TO DO</v>
      </c>
      <c r="F64" s="48" t="b">
        <f t="shared" si="187"/>
        <v>1</v>
      </c>
      <c r="G64" s="48" t="str">
        <f t="shared" si="187"/>
        <v>TO DO</v>
      </c>
      <c r="H64" s="48" t="b">
        <f t="shared" si="187"/>
        <v>1</v>
      </c>
      <c r="I64" s="48" t="b">
        <f t="shared" si="187"/>
        <v>1</v>
      </c>
      <c r="J64" s="49">
        <f t="shared" si="4"/>
        <v>1</v>
      </c>
      <c r="K64" s="50" t="str">
        <f t="shared" ref="K64:L64" si="188">VLOOKUP($A64, INDIRECT(K$1&amp;"!A:D"), 4, FALSE)</f>
        <v/>
      </c>
      <c r="L64" s="50" t="str">
        <f t="shared" si="188"/>
        <v/>
      </c>
      <c r="M64" s="50"/>
      <c r="N64" s="50" t="str">
        <f t="shared" ref="N64:P64" si="189">VLOOKUP($A64, INDIRECT(N$1&amp;"!A:D"), 4, FALSE)</f>
        <v/>
      </c>
      <c r="O64" s="50" t="str">
        <f t="shared" si="189"/>
        <v/>
      </c>
      <c r="P64" s="50" t="str">
        <f t="shared" si="189"/>
        <v/>
      </c>
      <c r="Q64" s="49" t="str">
        <f>IFERROR(__xludf.DUMMYFUNCTION("IF(COUNTA(K64:P64)=0, """", ARRAYFORMULA(""- ""&amp;TEXTJOIN(char(10)&amp;""- "", TRUE, FILTER(K$1:P$1&amp;"": ""&amp;K64:P64, NOT(ISBLANK(K64:P64))))))"),"")</f>
        <v/>
      </c>
      <c r="R64" s="49" t="s">
        <v>473</v>
      </c>
      <c r="S64" s="51" t="b">
        <v>1</v>
      </c>
    </row>
    <row r="65">
      <c r="A65" s="12" t="str">
        <f>IFERROR(__xludf.DUMMYFUNCTION("""COMPUTED_VALUE"""),"909068429450ba5baaaa09e8e53d2703")</f>
        <v>909068429450ba5baaaa09e8e53d2703</v>
      </c>
      <c r="B65" s="12" t="str">
        <f>IFERROR(__xludf.DUMMYFUNCTION("""COMPUTED_VALUE"""),"Freedom of expression is a definitional challenge because it is not easily definable. While “freedom” is the central issue, “expression” is relevant to what deserves protection. Free expression as a human right is not fully understood without its theoreti"&amp;"cal and conceptual framework. Given that freedom of expression is not absolute, free expression is balanced with its conflicting interests. Electronic media and internet law issues highlight the pervasive impact of new communication technologies on freedo"&amp;"m of expression. This article identifies and examines various key legal issues, whether content or process related. While using an international and comparative law perspective, the entry notes American experience with freedom of expression as a possible "&amp;"point of reference for the world of the global twenty-first century.      Keywords:    censorship,  defamation,  first amendment,  freedom of information,  human rights,  journalist's privilege,  net neutrality,  prior restraint")</f>
        <v>Freedom of expression is a definitional challenge because it is not easily definable. While “freedom” is the central issue, “expression” is relevant to what deserves protection. Free expression as a human right is not fully understood without its theoretical and conceptual framework. Given that freedom of expression is not absolute, free expression is balanced with its conflicting interests. Electronic media and internet law issues highlight the pervasive impact of new communication technologies on freedom of expression. This article identifies and examines various key legal issues, whether content or process related. While using an international and comparative law perspective, the entry notes American experience with freedom of expression as a possible point of reference for the world of the global twenty-first century.      Keywords:    censorship,  defamation,  first amendment,  freedom of information,  human rights,  journalist's privilege,  net neutrality,  prior restraint</v>
      </c>
      <c r="C65" s="7" t="s">
        <v>483</v>
      </c>
      <c r="D65" s="48" t="b">
        <f t="shared" ref="D65:I65" si="190">VLOOKUP($A65, INDIRECT(D$1&amp;"!A:C"), 3, FALSE)</f>
        <v>1</v>
      </c>
      <c r="E65" s="48" t="str">
        <f t="shared" si="190"/>
        <v>TO DO</v>
      </c>
      <c r="F65" s="48" t="b">
        <f t="shared" si="190"/>
        <v>1</v>
      </c>
      <c r="G65" s="48" t="str">
        <f t="shared" si="190"/>
        <v>TO DO</v>
      </c>
      <c r="H65" s="48" t="b">
        <f t="shared" si="190"/>
        <v>0</v>
      </c>
      <c r="I65" s="48" t="b">
        <f t="shared" si="190"/>
        <v>1</v>
      </c>
      <c r="J65" s="49">
        <f t="shared" si="4"/>
        <v>0.5</v>
      </c>
      <c r="K65" s="50" t="str">
        <f t="shared" ref="K65:L65" si="191">VLOOKUP($A65, INDIRECT(K$1&amp;"!A:D"), 4, FALSE)</f>
        <v/>
      </c>
      <c r="L65" s="50" t="str">
        <f t="shared" si="191"/>
        <v/>
      </c>
      <c r="M65" s="50"/>
      <c r="N65" s="50" t="str">
        <f t="shared" ref="N65:P65" si="192">VLOOKUP($A65, INDIRECT(N$1&amp;"!A:D"), 4, FALSE)</f>
        <v/>
      </c>
      <c r="O65" s="50" t="str">
        <f t="shared" si="192"/>
        <v/>
      </c>
      <c r="P65" s="50" t="str">
        <f t="shared" si="192"/>
        <v/>
      </c>
      <c r="Q65" s="49" t="str">
        <f>IFERROR(__xludf.DUMMYFUNCTION("IF(COUNTA(K65:P65)=0, """", ARRAYFORMULA(""- ""&amp;TEXTJOIN(char(10)&amp;""- "", TRUE, FILTER(K$1:P$1&amp;"": ""&amp;K65:P65, NOT(ISBLANK(K65:P65))))))"),"")</f>
        <v/>
      </c>
      <c r="R65" s="49" t="s">
        <v>473</v>
      </c>
      <c r="S65" s="51" t="s">
        <v>476</v>
      </c>
    </row>
    <row r="66">
      <c r="A66" s="12" t="str">
        <f>IFERROR(__xludf.DUMMYFUNCTION("""COMPUTED_VALUE"""),"0f42f1b1a419898dec65bcb8c0721709")</f>
        <v>0f42f1b1a419898dec65bcb8c0721709</v>
      </c>
      <c r="B66" s="12" t="str">
        <f>IFERROR(__xludf.DUMMYFUNCTION("""COMPUTED_VALUE"""),"International law relating to child soldiers is of recent origin. As far as universal instruments are concerned, the Child Soldiers Protocol is compared to Article 77(2) of the first Additional Protocol to the Geneva Conventions, Article 4(3)(c) of the se"&amp;"cond Additional Protocol to the Geneva Conventions, Articles 38 and 39 of the Convention on the Rights of the Child, Articles 8(2)(b)(xxvi) and (e)(vii) of the Rome Statute of the International Criminal Court and Article 3 of ILO Convention No 182 on the "&amp;"worst forms of child labour. In 1989, provisions on children in armed conflicts were incorporated into the 1989 Convention on the Rights of the Child (CRC). This international human rights instrument is ratified by all States except the United States and "&amp;"Somalia.Keywords: child labour, Child Soldiers Protocol, CRC, Geneva Conventions, Universal instruments")</f>
        <v>International law relating to child soldiers is of recent origin. As far as universal instruments are concerned, the Child Soldiers Protocol is compared to Article 77(2) of the first Additional Protocol to the Geneva Conventions, Article 4(3)(c) of the second Additional Protocol to the Geneva Conventions, Articles 38 and 39 of the Convention on the Rights of the Child, Articles 8(2)(b)(xxvi) and (e)(vii) of the Rome Statute of the International Criminal Court and Article 3 of ILO Convention No 182 on the worst forms of child labour. In 1989, provisions on children in armed conflicts were incorporated into the 1989 Convention on the Rights of the Child (CRC). This international human rights instrument is ratified by all States except the United States and Somalia.Keywords: child labour, Child Soldiers Protocol, CRC, Geneva Conventions, Universal instruments</v>
      </c>
      <c r="C66" s="53"/>
      <c r="D66" s="48" t="b">
        <f t="shared" ref="D66:I66" si="193">VLOOKUP($A66, INDIRECT(D$1&amp;"!A:C"), 3, FALSE)</f>
        <v>1</v>
      </c>
      <c r="E66" s="48" t="str">
        <f t="shared" si="193"/>
        <v>TO DO</v>
      </c>
      <c r="F66" s="48" t="b">
        <f t="shared" si="193"/>
        <v>1</v>
      </c>
      <c r="G66" s="48" t="str">
        <f t="shared" si="193"/>
        <v>TO DO</v>
      </c>
      <c r="H66" s="48" t="b">
        <f t="shared" si="193"/>
        <v>1</v>
      </c>
      <c r="I66" s="48" t="b">
        <f t="shared" si="193"/>
        <v>1</v>
      </c>
      <c r="J66" s="49">
        <f t="shared" si="4"/>
        <v>1</v>
      </c>
      <c r="K66" s="50" t="str">
        <f t="shared" ref="K66:L66" si="194">VLOOKUP($A66, INDIRECT(K$1&amp;"!A:D"), 4, FALSE)</f>
        <v/>
      </c>
      <c r="L66" s="50" t="str">
        <f t="shared" si="194"/>
        <v/>
      </c>
      <c r="M66" s="50"/>
      <c r="N66" s="50" t="str">
        <f t="shared" ref="N66:P66" si="195">VLOOKUP($A66, INDIRECT(N$1&amp;"!A:D"), 4, FALSE)</f>
        <v/>
      </c>
      <c r="O66" s="50" t="str">
        <f t="shared" si="195"/>
        <v/>
      </c>
      <c r="P66" s="50" t="str">
        <f t="shared" si="195"/>
        <v/>
      </c>
      <c r="Q66" s="49" t="str">
        <f>IFERROR(__xludf.DUMMYFUNCTION("IF(COUNTA(K66:P66)=0, """", ARRAYFORMULA(""- ""&amp;TEXTJOIN(char(10)&amp;""- "", TRUE, FILTER(K$1:P$1&amp;"": ""&amp;K66:P66, NOT(ISBLANK(K66:P66))))))"),"")</f>
        <v/>
      </c>
      <c r="R66" s="49" t="s">
        <v>473</v>
      </c>
      <c r="S66" s="51" t="b">
        <v>1</v>
      </c>
    </row>
    <row r="67">
      <c r="A67" s="12" t="str">
        <f>IFERROR(__xludf.DUMMYFUNCTION("""COMPUTED_VALUE"""),"c298d935b3cdda69507f2b4953c6beef")</f>
        <v>c298d935b3cdda69507f2b4953c6beef</v>
      </c>
      <c r="B67" s="12" t="str">
        <f>IFERROR(__xludf.DUMMYFUNCTION("""COMPUTED_VALUE"""),"Abstract Concerned that public schooling leads to mediocrity rather than meritocracy, many middle-class parents are seeking other options such as private schools, alternative public schools, and charter schools to develop their children's academic, creati"&amp;"ve, and athletic talents. Based on a mixed method investigation of school choice among parents (N = 1,871) in the two largest cities in the Province of Alberta, this paper examines the logic, values, and concerns that inform parental decision-making and t"&amp;"he impact of social class differentiation in the process of selection of elementary schools. Issues surrounding the placement of gifted students in various school options are discussed.")</f>
        <v>Abstract Concerned that public schooling leads to mediocrity rather than meritocracy, many middle-class parents are seeking other options such as private schools, alternative public schools, and charter schools to develop their children's academic, creative, and athletic talents. Based on a mixed method investigation of school choice among parents (N = 1,871) in the two largest cities in the Province of Alberta, this paper examines the logic, values, and concerns that inform parental decision-making and the impact of social class differentiation in the process of selection of elementary schools. Issues surrounding the placement of gifted students in various school options are discussed.</v>
      </c>
      <c r="C67" s="52"/>
      <c r="D67" s="48" t="b">
        <f t="shared" ref="D67:I67" si="196">VLOOKUP($A67, INDIRECT(D$1&amp;"!A:C"), 3, FALSE)</f>
        <v>0</v>
      </c>
      <c r="E67" s="48" t="str">
        <f t="shared" si="196"/>
        <v>TO DO</v>
      </c>
      <c r="F67" s="48" t="b">
        <f t="shared" si="196"/>
        <v>0</v>
      </c>
      <c r="G67" s="48" t="str">
        <f t="shared" si="196"/>
        <v>TO DO</v>
      </c>
      <c r="H67" s="48" t="b">
        <f t="shared" si="196"/>
        <v>0</v>
      </c>
      <c r="I67" s="48" t="b">
        <f t="shared" si="196"/>
        <v>0</v>
      </c>
      <c r="J67" s="49">
        <f t="shared" si="4"/>
        <v>1</v>
      </c>
      <c r="K67" s="50" t="str">
        <f t="shared" ref="K67:L67" si="197">VLOOKUP($A67, INDIRECT(K$1&amp;"!A:D"), 4, FALSE)</f>
        <v/>
      </c>
      <c r="L67" s="50" t="str">
        <f t="shared" si="197"/>
        <v/>
      </c>
      <c r="M67" s="50"/>
      <c r="N67" s="50" t="str">
        <f t="shared" ref="N67:P67" si="198">VLOOKUP($A67, INDIRECT(N$1&amp;"!A:D"), 4, FALSE)</f>
        <v/>
      </c>
      <c r="O67" s="50" t="str">
        <f t="shared" si="198"/>
        <v/>
      </c>
      <c r="P67" s="50" t="str">
        <f t="shared" si="198"/>
        <v/>
      </c>
      <c r="Q67" s="49" t="str">
        <f>IFERROR(__xludf.DUMMYFUNCTION("IF(COUNTA(K67:P67)=0, """", ARRAYFORMULA(""- ""&amp;TEXTJOIN(char(10)&amp;""- "", TRUE, FILTER(K$1:P$1&amp;"": ""&amp;K67:P67, NOT(ISBLANK(K67:P67))))))"),"")</f>
        <v/>
      </c>
      <c r="R67" s="49" t="s">
        <v>473</v>
      </c>
      <c r="S67" s="51" t="b">
        <v>0</v>
      </c>
    </row>
    <row r="68">
      <c r="A68" s="12" t="str">
        <f>IFERROR(__xludf.DUMMYFUNCTION("""COMPUTED_VALUE"""),"4b7bb836ce260d83035e1cddbea6c891")</f>
        <v>4b7bb836ce260d83035e1cddbea6c891</v>
      </c>
      <c r="B68" s="12" t="str">
        <f>IFERROR(__xludf.DUMMYFUNCTION("""COMPUTED_VALUE"""),"Abstract Through a review of the scholarly and non-governmental organization (NGO) literature, this paper seeks to contribute to an emergent dialogue on the cultural citizenship of children in art museums. A comprehensive search of the current literature "&amp;"on this topic reveals a paucity of attention and understanding in this area, despite an increasing focus on children's services in art museums. In order to bridge this gap, the United Nations' Convention on the Rights of the Child (CRC) is highlighted as "&amp;"an international vehicle for entrenching the participatory rights of children in cultural life and the Arts from birth. Lundy's model for participation based on ‘space, voice, audience and influence’ is interpreted for an art museum setting. Promoting chi"&amp;"ldren's cultural rights shapes museums into more democratic institutions, thereby activating the public art museum's founding principles.")</f>
        <v>Abstract Through a review of the scholarly and non-governmental organization (NGO) literature, this paper seeks to contribute to an emergent dialogue on the cultural citizenship of children in art museums. A comprehensive search of the current literature on this topic reveals a paucity of attention and understanding in this area, despite an increasing focus on children's services in art museums. In order to bridge this gap, the United Nations' Convention on the Rights of the Child (CRC) is highlighted as an international vehicle for entrenching the participatory rights of children in cultural life and the Arts from birth. Lundy's model for participation based on ‘space, voice, audience and influence’ is interpreted for an art museum setting. Promoting children's cultural rights shapes museums into more democratic institutions, thereby activating the public art museum's founding principles.</v>
      </c>
      <c r="C68" s="7" t="s">
        <v>483</v>
      </c>
      <c r="D68" s="48" t="b">
        <f t="shared" ref="D68:I68" si="199">VLOOKUP($A68, INDIRECT(D$1&amp;"!A:C"), 3, FALSE)</f>
        <v>1</v>
      </c>
      <c r="E68" s="48" t="str">
        <f t="shared" si="199"/>
        <v>TO DO</v>
      </c>
      <c r="F68" s="48" t="b">
        <f t="shared" si="199"/>
        <v>0</v>
      </c>
      <c r="G68" s="48" t="str">
        <f t="shared" si="199"/>
        <v>TO DO</v>
      </c>
      <c r="H68" s="48" t="b">
        <f t="shared" si="199"/>
        <v>0</v>
      </c>
      <c r="I68" s="48" t="b">
        <f t="shared" si="199"/>
        <v>0</v>
      </c>
      <c r="J68" s="49">
        <f t="shared" si="4"/>
        <v>0.5</v>
      </c>
      <c r="K68" s="50" t="str">
        <f t="shared" ref="K68:L68" si="200">VLOOKUP($A68, INDIRECT(K$1&amp;"!A:D"), 4, FALSE)</f>
        <v/>
      </c>
      <c r="L68" s="50" t="str">
        <f t="shared" si="200"/>
        <v/>
      </c>
      <c r="M68" s="50"/>
      <c r="N68" s="50" t="str">
        <f t="shared" ref="N68:P68" si="201">VLOOKUP($A68, INDIRECT(N$1&amp;"!A:D"), 4, FALSE)</f>
        <v/>
      </c>
      <c r="O68" s="50" t="str">
        <f t="shared" si="201"/>
        <v/>
      </c>
      <c r="P68" s="50" t="str">
        <f t="shared" si="201"/>
        <v>16.2 much more on ending abuse, violence, trafficking</v>
      </c>
      <c r="Q68" s="49" t="str">
        <f>IFERROR(__xludf.DUMMYFUNCTION("IF(COUNTA(K68:P68)=0, """", ARRAYFORMULA(""- ""&amp;TEXTJOIN(char(10)&amp;""- "", TRUE, FILTER(K$1:P$1&amp;"": ""&amp;K68:P68, NOT(ISBLANK(K68:P68))))))"),"- Steve: 16.2 much more on ending abuse, violence, trafficking")</f>
        <v>- Steve: 16.2 much more on ending abuse, violence, trafficking</v>
      </c>
      <c r="R68" s="49" t="s">
        <v>504</v>
      </c>
      <c r="S68" s="51" t="s">
        <v>476</v>
      </c>
    </row>
    <row r="69">
      <c r="A69" s="12" t="str">
        <f>IFERROR(__xludf.DUMMYFUNCTION("""COMPUTED_VALUE"""),"751c0b1bbc667b3ffff6904e4ade5c5c")</f>
        <v>751c0b1bbc667b3ffff6904e4ade5c5c</v>
      </c>
      <c r="B69" s="12" t="str">
        <f>IFERROR(__xludf.DUMMYFUNCTION("""COMPUTED_VALUE"""),"In considering the morality of public policy, including child protection policy, one must go beyond the logic of the content underlying moral judgments. It is at least as important to discuss the breadth of the circle of care—the scope of application of n"&amp;"orms of human dignity, as illustrated by human rights law. In essence, we must exercise due care in determining not only what human decency demands but also to whom the Golden Rule applies. This point was vividly illustrated by the Trump administration’s "&amp;"barbaric policy of separation of parents and children as a deterrent to illegal immigration to the United States. In building more sensible and sensitive child protection policy, we must remain vigilant in affirming the humanity of children in general and"&amp;", in particular, those who live in exceptionally difficult circumstances or whose families are in groups especially vulnerable to injustice.")</f>
        <v>In considering the morality of public policy, including child protection policy, one must go beyond the logic of the content underlying moral judgments. It is at least as important to discuss the breadth of the circle of care—the scope of application of norms of human dignity, as illustrated by human rights law. In essence, we must exercise due care in determining not only what human decency demands but also to whom the Golden Rule applies. This point was vividly illustrated by the Trump administration’s barbaric policy of separation of parents and children as a deterrent to illegal immigration to the United States. In building more sensible and sensitive child protection policy, we must remain vigilant in affirming the humanity of children in general and, in particular, those who live in exceptionally difficult circumstances or whose families are in groups especially vulnerable to injustice.</v>
      </c>
      <c r="C69" s="53"/>
      <c r="D69" s="48" t="b">
        <f t="shared" ref="D69:I69" si="202">VLOOKUP($A69, INDIRECT(D$1&amp;"!A:C"), 3, FALSE)</f>
        <v>1</v>
      </c>
      <c r="E69" s="48" t="str">
        <f t="shared" si="202"/>
        <v>TO DO</v>
      </c>
      <c r="F69" s="48" t="b">
        <f t="shared" si="202"/>
        <v>1</v>
      </c>
      <c r="G69" s="48" t="str">
        <f t="shared" si="202"/>
        <v>TO DO</v>
      </c>
      <c r="H69" s="48" t="b">
        <f t="shared" si="202"/>
        <v>1</v>
      </c>
      <c r="I69" s="48" t="b">
        <f t="shared" si="202"/>
        <v>1</v>
      </c>
      <c r="J69" s="49">
        <f t="shared" si="4"/>
        <v>1</v>
      </c>
      <c r="K69" s="50" t="str">
        <f t="shared" ref="K69:L69" si="203">VLOOKUP($A69, INDIRECT(K$1&amp;"!A:D"), 4, FALSE)</f>
        <v/>
      </c>
      <c r="L69" s="50" t="str">
        <f t="shared" si="203"/>
        <v/>
      </c>
      <c r="M69" s="50"/>
      <c r="N69" s="50" t="str">
        <f t="shared" ref="N69:P69" si="204">VLOOKUP($A69, INDIRECT(N$1&amp;"!A:D"), 4, FALSE)</f>
        <v/>
      </c>
      <c r="O69" s="50" t="str">
        <f t="shared" si="204"/>
        <v/>
      </c>
      <c r="P69" s="50" t="str">
        <f t="shared" si="204"/>
        <v/>
      </c>
      <c r="Q69" s="49" t="str">
        <f>IFERROR(__xludf.DUMMYFUNCTION("IF(COUNTA(K69:P69)=0, """", ARRAYFORMULA(""- ""&amp;TEXTJOIN(char(10)&amp;""- "", TRUE, FILTER(K$1:P$1&amp;"": ""&amp;K69:P69, NOT(ISBLANK(K69:P69))))))"),"")</f>
        <v/>
      </c>
      <c r="R69" s="49" t="s">
        <v>473</v>
      </c>
      <c r="S69" s="51" t="b">
        <v>1</v>
      </c>
    </row>
    <row r="70">
      <c r="A70" s="12" t="str">
        <f>IFERROR(__xludf.DUMMYFUNCTION("""COMPUTED_VALUE"""),"1f5a19f7ca8125772f4c3a6cdbbaa58e")</f>
        <v>1f5a19f7ca8125772f4c3a6cdbbaa58e</v>
      </c>
      <c r="B70" s="12" t="str">
        <f>IFERROR(__xludf.DUMMYFUNCTION("""COMPUTED_VALUE"""),"This article will explore the dilemmas that Albania has been experiencing in implementing the rule of law during the past two decades with particular attention to the political institutional obstacles, including the difficulties of establishing an indepen"&amp;"dent judiciary and the pervasiveness of corruption. The concept of the rule of law will be the lens through which the difficulties of the democratization process will be examined. The lack of transparency in the legislature and more broadly in the politic"&amp;"al decision-making process, and the divisive and leader-dominated political party system are two additional obstacles that Albania is facing in consolidating democracy. Since its first post-communist election in 1991, Albania has experienced challenges in"&amp;" conducting legitimate elections that meet international standards. The political and cultural environment where these political institutions operate and from which they have been constructed will provide the backdrop for analysis.")</f>
        <v>This article will explore the dilemmas that Albania has been experiencing in implementing the rule of law during the past two decades with particular attention to the political institutional obstacles, including the difficulties of establishing an independent judiciary and the pervasiveness of corruption. The concept of the rule of law will be the lens through which the difficulties of the democratization process will be examined. The lack of transparency in the legislature and more broadly in the political decision-making process, and the divisive and leader-dominated political party system are two additional obstacles that Albania is facing in consolidating democracy. Since its first post-communist election in 1991, Albania has experienced challenges in conducting legitimate elections that meet international standards. The political and cultural environment where these political institutions operate and from which they have been constructed will provide the backdrop for analysis.</v>
      </c>
      <c r="C70" s="7"/>
      <c r="D70" s="48" t="b">
        <f t="shared" ref="D70:I70" si="205">VLOOKUP($A70, INDIRECT(D$1&amp;"!A:C"), 3, FALSE)</f>
        <v>1</v>
      </c>
      <c r="E70" s="48" t="str">
        <f t="shared" si="205"/>
        <v>TO DO</v>
      </c>
      <c r="F70" s="48" t="b">
        <f t="shared" si="205"/>
        <v>1</v>
      </c>
      <c r="G70" s="48" t="str">
        <f t="shared" si="205"/>
        <v>TO DO</v>
      </c>
      <c r="H70" s="48" t="b">
        <f t="shared" si="205"/>
        <v>1</v>
      </c>
      <c r="I70" s="48" t="b">
        <f t="shared" si="205"/>
        <v>1</v>
      </c>
      <c r="J70" s="49">
        <f t="shared" si="4"/>
        <v>1</v>
      </c>
      <c r="K70" s="50" t="str">
        <f t="shared" ref="K70:L70" si="206">VLOOKUP($A70, INDIRECT(K$1&amp;"!A:D"), 4, FALSE)</f>
        <v/>
      </c>
      <c r="L70" s="50" t="str">
        <f t="shared" si="206"/>
        <v/>
      </c>
      <c r="M70" s="50"/>
      <c r="N70" s="50" t="str">
        <f t="shared" ref="N70:P70" si="207">VLOOKUP($A70, INDIRECT(N$1&amp;"!A:D"), 4, FALSE)</f>
        <v/>
      </c>
      <c r="O70" s="50" t="str">
        <f t="shared" si="207"/>
        <v/>
      </c>
      <c r="P70" s="50" t="str">
        <f t="shared" si="207"/>
        <v/>
      </c>
      <c r="Q70" s="49" t="str">
        <f>IFERROR(__xludf.DUMMYFUNCTION("IF(COUNTA(K70:P70)=0, """", ARRAYFORMULA(""- ""&amp;TEXTJOIN(char(10)&amp;""- "", TRUE, FILTER(K$1:P$1&amp;"": ""&amp;K70:P70, NOT(ISBLANK(K70:P70))))))"),"")</f>
        <v/>
      </c>
      <c r="R70" s="49" t="s">
        <v>473</v>
      </c>
      <c r="S70" s="51" t="b">
        <v>1</v>
      </c>
    </row>
    <row r="71">
      <c r="A71" s="12" t="str">
        <f>IFERROR(__xludf.DUMMYFUNCTION("""COMPUTED_VALUE"""),"c78359c4869a35669e9377dc75d62791")</f>
        <v>c78359c4869a35669e9377dc75d62791</v>
      </c>
      <c r="B71" s="12" t="str">
        <f>IFERROR(__xludf.DUMMYFUNCTION("""COMPUTED_VALUE"""),"Much of America’s aging drinking water infrastructure is in a state of disrepair that threatens our water quality and public health. If the goal of equitable access to safe water is to be realized, we must rise to the challenge of replacing or upgrading t"&amp;"his infrastructure starting in communities that can least afford to do so. This chapter examines the disparate financial burdens, potential health impacts, and environmental justice implications that water infrastructure inequality poses through the probl"&amp;"em of lead in drinking water and opportunistic premise plumbing pathogens. The lead-in-water crisis and Legionella outbreak in Flint, Michigan, provides a clarion call to address funding needs, strengthen regulations, incentivize regulatory compliance, pr"&amp;"omote meaningful public participation, ensure government accountability, and improve public health outcomes.")</f>
        <v>Much of America’s aging drinking water infrastructure is in a state of disrepair that threatens our water quality and public health. If the goal of equitable access to safe water is to be realized, we must rise to the challenge of replacing or upgrading this infrastructure starting in communities that can least afford to do so. This chapter examines the disparate financial burdens, potential health impacts, and environmental justice implications that water infrastructure inequality poses through the problem of lead in drinking water and opportunistic premise plumbing pathogens. The lead-in-water crisis and Legionella outbreak in Flint, Michigan, provides a clarion call to address funding needs, strengthen regulations, incentivize regulatory compliance, promote meaningful public participation, ensure government accountability, and improve public health outcomes.</v>
      </c>
      <c r="C71" s="7" t="s">
        <v>474</v>
      </c>
      <c r="D71" s="48" t="b">
        <f t="shared" ref="D71:I71" si="208">VLOOKUP($A71, INDIRECT(D$1&amp;"!A:C"), 3, FALSE)</f>
        <v>1</v>
      </c>
      <c r="E71" s="48" t="str">
        <f t="shared" si="208"/>
        <v>TO DO</v>
      </c>
      <c r="F71" s="48" t="b">
        <f t="shared" si="208"/>
        <v>0</v>
      </c>
      <c r="G71" s="48" t="str">
        <f t="shared" si="208"/>
        <v>TO DO</v>
      </c>
      <c r="H71" s="48" t="b">
        <f t="shared" si="208"/>
        <v>0</v>
      </c>
      <c r="I71" s="48" t="b">
        <f t="shared" si="208"/>
        <v>1</v>
      </c>
      <c r="J71" s="49">
        <f t="shared" si="4"/>
        <v>0</v>
      </c>
      <c r="K71" s="50" t="str">
        <f t="shared" ref="K71:L71" si="209">VLOOKUP($A71, INDIRECT(K$1&amp;"!A:D"), 4, FALSE)</f>
        <v>last sentence</v>
      </c>
      <c r="L71" s="50" t="str">
        <f t="shared" si="209"/>
        <v/>
      </c>
      <c r="M71" s="50"/>
      <c r="N71" s="50" t="str">
        <f t="shared" ref="N71:P71" si="210">VLOOKUP($A71, INDIRECT(N$1&amp;"!A:D"), 4, FALSE)</f>
        <v/>
      </c>
      <c r="O71" s="50" t="str">
        <f t="shared" si="210"/>
        <v/>
      </c>
      <c r="P71" s="50" t="str">
        <f t="shared" si="210"/>
        <v/>
      </c>
      <c r="Q71" s="49" t="str">
        <f>IFERROR(__xludf.DUMMYFUNCTION("IF(COUNTA(K71:P71)=0, """", ARRAYFORMULA(""- ""&amp;TEXTJOIN(char(10)&amp;""- "", TRUE, FILTER(K$1:P$1&amp;"": ""&amp;K71:P71, NOT(ISBLANK(K71:P71))))))"),"- Finn: last sentence")</f>
        <v>- Finn: last sentence</v>
      </c>
      <c r="R71" s="49" t="s">
        <v>505</v>
      </c>
      <c r="S71" s="51" t="s">
        <v>476</v>
      </c>
    </row>
    <row r="72">
      <c r="A72" s="12" t="str">
        <f>IFERROR(__xludf.DUMMYFUNCTION("""COMPUTED_VALUE"""),"08ee630308e81b34a2add6ea4ba517fa")</f>
        <v>08ee630308e81b34a2add6ea4ba517fa</v>
      </c>
      <c r="B72" s="12" t="str">
        <f>IFERROR(__xludf.DUMMYFUNCTION("""COMPUTED_VALUE"""),"Starting from the position that officer accountability is a core value of American constitutionalism, this article reassesses MARBURY V. MADISON in light of the indictable acts connected to the nondelivery of Marbury’s commission. First, it reads Chief Ju"&amp;"stice Marshall’s opinion against the background of personal and political hostility among the principals, including between Marbury and President Jefferson. Second, it identifies avenues of further redress open to Marbury before and after the Supreme Cour"&amp;"t’s refusal of the mandamus order, and it considers why they were not pursued. Finally, having identified alternative procedural traditions on which Marshall could have drawn, and reviewed decisions by state and federal judges in analogous suits against o"&amp;"fficers, it concludes that MARBURY'S deepest contribution was to elevate the principle of jurisdiction over the imperative of remedy in constitutional decision making.")</f>
        <v>Starting from the position that officer accountability is a core value of American constitutionalism, this article reassesses MARBURY V. MADISON in light of the indictable acts connected to the nondelivery of Marbury’s commission. First, it reads Chief Justice Marshall’s opinion against the background of personal and political hostility among the principals, including between Marbury and President Jefferson. Second, it identifies avenues of further redress open to Marbury before and after the Supreme Court’s refusal of the mandamus order, and it considers why they were not pursued. Finally, having identified alternative procedural traditions on which Marshall could have drawn, and reviewed decisions by state and federal judges in analogous suits against officers, it concludes that MARBURY'S deepest contribution was to elevate the principle of jurisdiction over the imperative of remedy in constitutional decision making.</v>
      </c>
      <c r="C72" s="53" t="s">
        <v>487</v>
      </c>
      <c r="D72" s="48" t="b">
        <f t="shared" ref="D72:I72" si="211">VLOOKUP($A72, INDIRECT(D$1&amp;"!A:C"), 3, FALSE)</f>
        <v>1</v>
      </c>
      <c r="E72" s="48" t="str">
        <f t="shared" si="211"/>
        <v>TO DO</v>
      </c>
      <c r="F72" s="48" t="str">
        <f t="shared" si="211"/>
        <v>SKIP</v>
      </c>
      <c r="G72" s="48" t="str">
        <f t="shared" si="211"/>
        <v>TO DO</v>
      </c>
      <c r="H72" s="48" t="b">
        <f t="shared" si="211"/>
        <v>1</v>
      </c>
      <c r="I72" s="48" t="b">
        <f t="shared" si="211"/>
        <v>1</v>
      </c>
      <c r="J72" s="49">
        <f t="shared" si="4"/>
        <v>0.75</v>
      </c>
      <c r="K72" s="50" t="str">
        <f t="shared" ref="K72:L72" si="212">VLOOKUP($A72, INDIRECT(K$1&amp;"!A:D"), 4, FALSE)</f>
        <v>the case is about judicial control</v>
      </c>
      <c r="L72" s="50" t="str">
        <f t="shared" si="212"/>
        <v/>
      </c>
      <c r="M72" s="50"/>
      <c r="N72" s="50" t="str">
        <f t="shared" ref="N72:P72" si="213">VLOOKUP($A72, INDIRECT(N$1&amp;"!A:D"), 4, FALSE)</f>
        <v/>
      </c>
      <c r="O72" s="50" t="str">
        <f t="shared" si="213"/>
        <v/>
      </c>
      <c r="P72" s="50" t="str">
        <f t="shared" si="213"/>
        <v>transparent institutions?</v>
      </c>
      <c r="Q72" s="49" t="str">
        <f>IFERROR(__xludf.DUMMYFUNCTION("IF(COUNTA(K72:P72)=0, """", ARRAYFORMULA(""- ""&amp;TEXTJOIN(char(10)&amp;""- "", TRUE, FILTER(K$1:P$1&amp;"": ""&amp;K72:P72, NOT(ISBLANK(K72:P72))))))"),"- Finn: the case is about judicial control
- Steve: transparent institutions?")</f>
        <v>- Finn: the case is about judicial control
- Steve: transparent institutions?</v>
      </c>
      <c r="R72" s="49" t="s">
        <v>506</v>
      </c>
      <c r="S72" s="54" t="b">
        <v>1</v>
      </c>
      <c r="T72" s="5" t="s">
        <v>507</v>
      </c>
    </row>
    <row r="73">
      <c r="A73" s="12" t="str">
        <f>IFERROR(__xludf.DUMMYFUNCTION("""COMPUTED_VALUE"""),"f2e26257b22c2f821e65d7c1640d9f19")</f>
        <v>f2e26257b22c2f821e65d7c1640d9f19</v>
      </c>
      <c r="B73" s="12" t="str">
        <f>IFERROR(__xludf.DUMMYFUNCTION("""COMPUTED_VALUE"""),"The right to oblivion, else known as right to be forgotten, has recently conquered the legal debate. The ‘proprietary’ or ‘control-based’ approaches on personal data, reflected in the current data protection mechanisms are unable to provide full protectio"&amp;"n under the rapid evolution of ICT. This article attempts to present the academic discussion on the proposed right and put forward a conceptual approach of the right to oblivion from a human-rights based perspective. An effective right to oblivion confirm"&amp;"s the need for a paradigm shift in the traditional understanding of private information/life, leading to a multidimensional conceptualisation of the right to privacy.")</f>
        <v>The right to oblivion, else known as right to be forgotten, has recently conquered the legal debate. The ‘proprietary’ or ‘control-based’ approaches on personal data, reflected in the current data protection mechanisms are unable to provide full protection under the rapid evolution of ICT. This article attempts to present the academic discussion on the proposed right and put forward a conceptual approach of the right to oblivion from a human-rights based perspective. An effective right to oblivion confirms the need for a paradigm shift in the traditional understanding of private information/life, leading to a multidimensional conceptualisation of the right to privacy.</v>
      </c>
      <c r="C73" s="53" t="s">
        <v>483</v>
      </c>
      <c r="D73" s="48" t="b">
        <f t="shared" ref="D73:I73" si="214">VLOOKUP($A73, INDIRECT(D$1&amp;"!A:C"), 3, FALSE)</f>
        <v>1</v>
      </c>
      <c r="E73" s="48" t="str">
        <f t="shared" si="214"/>
        <v>TO DO</v>
      </c>
      <c r="F73" s="48" t="b">
        <f t="shared" si="214"/>
        <v>1</v>
      </c>
      <c r="G73" s="48" t="str">
        <f t="shared" si="214"/>
        <v>TO DO</v>
      </c>
      <c r="H73" s="48" t="b">
        <f t="shared" si="214"/>
        <v>0</v>
      </c>
      <c r="I73" s="48" t="b">
        <f t="shared" si="214"/>
        <v>1</v>
      </c>
      <c r="J73" s="49">
        <f t="shared" si="4"/>
        <v>0.5</v>
      </c>
      <c r="K73" s="50" t="str">
        <f t="shared" ref="K73:L73" si="215">VLOOKUP($A73, INDIRECT(K$1&amp;"!A:D"), 4, FALSE)</f>
        <v/>
      </c>
      <c r="L73" s="50" t="str">
        <f t="shared" si="215"/>
        <v/>
      </c>
      <c r="M73" s="50"/>
      <c r="N73" s="50" t="str">
        <f t="shared" ref="N73:P73" si="216">VLOOKUP($A73, INDIRECT(N$1&amp;"!A:D"), 4, FALSE)</f>
        <v/>
      </c>
      <c r="O73" s="50" t="str">
        <f t="shared" si="216"/>
        <v/>
      </c>
      <c r="P73" s="50" t="str">
        <f t="shared" si="216"/>
        <v>fundamental freedoms?</v>
      </c>
      <c r="Q73" s="49" t="str">
        <f>IFERROR(__xludf.DUMMYFUNCTION("IF(COUNTA(K73:P73)=0, """", ARRAYFORMULA(""- ""&amp;TEXTJOIN(char(10)&amp;""- "", TRUE, FILTER(K$1:P$1&amp;"": ""&amp;K73:P73, NOT(ISBLANK(K73:P73))))))"),"- Steve: fundamental freedoms?")</f>
        <v>- Steve: fundamental freedoms?</v>
      </c>
      <c r="R73" s="49" t="s">
        <v>508</v>
      </c>
      <c r="S73" s="51" t="s">
        <v>476</v>
      </c>
    </row>
    <row r="74">
      <c r="A74" s="12" t="str">
        <f>IFERROR(__xludf.DUMMYFUNCTION("""COMPUTED_VALUE"""),"c412d082306c88d0fab7db3028ab9027")</f>
        <v>c412d082306c88d0fab7db3028ab9027</v>
      </c>
      <c r="B74" s="12" t="str">
        <f>IFERROR(__xludf.DUMMYFUNCTION("""COMPUTED_VALUE"""),"The chapter looks at when arms transfers to armed groups will be illegal under international law, when the use of certain arms by armed groups will be illegal and what are the factors which allow us to consider armed groups bound by these prohibitions at "&amp;"the international level. The situation in Syria is highlighted and there are references to the ongoing negotiations at the United Nations for an Arms Trade Treaty. Particular attention is paid to the issue of the obligations of armed groups under human ri"&amp;"ghts law and recent developments which suggest that such groups are bound by international law even where, as in the early stages of the Syria fighting, the militia or armed group are not necessarily in control of territory or in a situation of armed conf"&amp;"lict.")</f>
        <v>The chapter looks at when arms transfers to armed groups will be illegal under international law, when the use of certain arms by armed groups will be illegal and what are the factors which allow us to consider armed groups bound by these prohibitions at the international level. The situation in Syria is highlighted and there are references to the ongoing negotiations at the United Nations for an Arms Trade Treaty. Particular attention is paid to the issue of the obligations of armed groups under human rights law and recent developments which suggest that such groups are bound by international law even where, as in the early stages of the Syria fighting, the militia or armed group are not necessarily in control of territory or in a situation of armed conflict.</v>
      </c>
      <c r="C74" s="52"/>
      <c r="D74" s="48" t="b">
        <f t="shared" ref="D74:I74" si="217">VLOOKUP($A74, INDIRECT(D$1&amp;"!A:C"), 3, FALSE)</f>
        <v>1</v>
      </c>
      <c r="E74" s="48" t="str">
        <f t="shared" si="217"/>
        <v>TO DO</v>
      </c>
      <c r="F74" s="48" t="b">
        <f t="shared" si="217"/>
        <v>1</v>
      </c>
      <c r="G74" s="48" t="str">
        <f t="shared" si="217"/>
        <v>TO DO</v>
      </c>
      <c r="H74" s="48" t="b">
        <f t="shared" si="217"/>
        <v>1</v>
      </c>
      <c r="I74" s="48" t="b">
        <f t="shared" si="217"/>
        <v>1</v>
      </c>
      <c r="J74" s="49">
        <f t="shared" si="4"/>
        <v>1</v>
      </c>
      <c r="K74" s="50" t="str">
        <f t="shared" ref="K74:L74" si="218">VLOOKUP($A74, INDIRECT(K$1&amp;"!A:D"), 4, FALSE)</f>
        <v/>
      </c>
      <c r="L74" s="50" t="str">
        <f t="shared" si="218"/>
        <v/>
      </c>
      <c r="M74" s="50"/>
      <c r="N74" s="50" t="str">
        <f t="shared" ref="N74:P74" si="219">VLOOKUP($A74, INDIRECT(N$1&amp;"!A:D"), 4, FALSE)</f>
        <v/>
      </c>
      <c r="O74" s="50" t="str">
        <f t="shared" si="219"/>
        <v/>
      </c>
      <c r="P74" s="50" t="str">
        <f t="shared" si="219"/>
        <v/>
      </c>
      <c r="Q74" s="49" t="str">
        <f>IFERROR(__xludf.DUMMYFUNCTION("IF(COUNTA(K74:P74)=0, """", ARRAYFORMULA(""- ""&amp;TEXTJOIN(char(10)&amp;""- "", TRUE, FILTER(K$1:P$1&amp;"": ""&amp;K74:P74, NOT(ISBLANK(K74:P74))))))"),"")</f>
        <v/>
      </c>
      <c r="R74" s="49" t="s">
        <v>473</v>
      </c>
      <c r="S74" s="51" t="b">
        <v>1</v>
      </c>
    </row>
    <row r="75">
      <c r="A75" s="12" t="str">
        <f>IFERROR(__xludf.DUMMYFUNCTION("""COMPUTED_VALUE"""),"8e0f3309350a2f76dd9e64bb86ae5491")</f>
        <v>8e0f3309350a2f76dd9e64bb86ae5491</v>
      </c>
      <c r="B75" s="12" t="str">
        <f>IFERROR(__xludf.DUMMYFUNCTION("""COMPUTED_VALUE"""),"▪ Abstract The results of over 70 years of African Diasporic bioarchaeology are discussed and explained as emerging from distinct interests and traditions of African Diasporan studies, sociocultural anthropology, history, physical anthropology, and archae"&amp;"ology, in that chronological order. Physical anthropology is the core discipline of African-American bioarchaeology, yet it has been the least informed by cultural and historical literatures. Forensic approaches to bioarchaeology construct a past that fai"&amp;"ls to be either cultural or historical, while biocultural approaches are emerging that construct a more human history of African Diasporic communities. The involvement of African Americans, both as clients and as sources of scholarship, has begun to trans"&amp;"form bioarchaeology as in the example of the New York African Burial Ground. The social history of the field examined here emphasizes the scholarship of diasporans themselves, and critiques a bioarchaeology that, until recently, has had little relevance t"&amp;"...")</f>
        <v>▪ Abstract The results of over 70 years of African Diasporic bioarchaeology are discussed and explained as emerging from distinct interests and traditions of African Diasporan studies, sociocultural anthropology, history, physical anthropology, and archaeology, in that chronological order. Physical anthropology is the core discipline of African-American bioarchaeology, yet it has been the least informed by cultural and historical literatures. Forensic approaches to bioarchaeology construct a past that fails to be either cultural or historical, while biocultural approaches are emerging that construct a more human history of African Diasporic communities. The involvement of African Americans, both as clients and as sources of scholarship, has begun to transform bioarchaeology as in the example of the New York African Burial Ground. The social history of the field examined here emphasizes the scholarship of diasporans themselves, and critiques a bioarchaeology that, until recently, has had little relevance t...</v>
      </c>
      <c r="C75" s="53"/>
      <c r="D75" s="48" t="b">
        <f t="shared" ref="D75:I75" si="220">VLOOKUP($A75, INDIRECT(D$1&amp;"!A:C"), 3, FALSE)</f>
        <v>0</v>
      </c>
      <c r="E75" s="48" t="str">
        <f t="shared" si="220"/>
        <v>TO DO</v>
      </c>
      <c r="F75" s="48" t="b">
        <f t="shared" si="220"/>
        <v>0</v>
      </c>
      <c r="G75" s="48" t="str">
        <f t="shared" si="220"/>
        <v>TO DO</v>
      </c>
      <c r="H75" s="48" t="b">
        <f t="shared" si="220"/>
        <v>0</v>
      </c>
      <c r="I75" s="48" t="b">
        <f t="shared" si="220"/>
        <v>0</v>
      </c>
      <c r="J75" s="49">
        <f t="shared" si="4"/>
        <v>1</v>
      </c>
      <c r="K75" s="50" t="str">
        <f t="shared" ref="K75:L75" si="221">VLOOKUP($A75, INDIRECT(K$1&amp;"!A:D"), 4, FALSE)</f>
        <v/>
      </c>
      <c r="L75" s="50" t="str">
        <f t="shared" si="221"/>
        <v/>
      </c>
      <c r="M75" s="50"/>
      <c r="N75" s="50" t="str">
        <f t="shared" ref="N75:P75" si="222">VLOOKUP($A75, INDIRECT(N$1&amp;"!A:D"), 4, FALSE)</f>
        <v/>
      </c>
      <c r="O75" s="50" t="str">
        <f t="shared" si="222"/>
        <v/>
      </c>
      <c r="P75" s="50" t="str">
        <f t="shared" si="222"/>
        <v/>
      </c>
      <c r="Q75" s="49" t="str">
        <f>IFERROR(__xludf.DUMMYFUNCTION("IF(COUNTA(K75:P75)=0, """", ARRAYFORMULA(""- ""&amp;TEXTJOIN(char(10)&amp;""- "", TRUE, FILTER(K$1:P$1&amp;"": ""&amp;K75:P75, NOT(ISBLANK(K75:P75))))))"),"")</f>
        <v/>
      </c>
      <c r="R75" s="49" t="s">
        <v>473</v>
      </c>
      <c r="S75" s="51" t="b">
        <v>0</v>
      </c>
    </row>
    <row r="76">
      <c r="A76" s="12" t="str">
        <f>IFERROR(__xludf.DUMMYFUNCTION("""COMPUTED_VALUE"""),"1addd30d8ae8410c274243bc563613af")</f>
        <v>1addd30d8ae8410c274243bc563613af</v>
      </c>
      <c r="B76" s="12" t="str">
        <f>IFERROR(__xludf.DUMMYFUNCTION("""COMPUTED_VALUE"""),"Crime, terrorism and security are in the forefront of current societal concerns. This edited volume presents research based on social network techniques showing how data from crime and terror networks can be analyzed and how information can be extracted. "&amp;"The topics covered include crime data mining and visualization, organized crime detection, crime network visualization, computational criminology, aspects of terror network analyses and threat prediction including cyberterrorism and the related area of da"&amp;"rk web, privacy issues in social networks, security informatics, graph algorithms for social networks, general aspects of social networks such as pattern and anomaly detection, community discovery, link analysis and spatio-temporal network mining. These t"&amp;"opics will be of interest to researchers and practitioners in the general area of security informatics. The volume will also serve as a general reference for readers that would want to become familiar with current research in the fast growing field of cyb"&amp;"ersecurity.")</f>
        <v>Crime, terrorism and security are in the forefront of current societal concerns. This edited volume presents research based on social network techniques showing how data from crime and terror networks can be analyzed and how information can be extracted. The topics covered include crime data mining and visualization, organized crime detection, crime network visualization, computational criminology, aspects of terror network analyses and threat prediction including cyberterrorism and the related area of dark web, privacy issues in social networks, security informatics, graph algorithms for social networks, general aspects of social networks such as pattern and anomaly detection, community discovery, link analysis and spatio-temporal network mining. These topics will be of interest to researchers and practitioners in the general area of security informatics. The volume will also serve as a general reference for readers that would want to become familiar with current research in the fast growing field of cybersecurity.</v>
      </c>
      <c r="C76" s="7" t="s">
        <v>474</v>
      </c>
      <c r="D76" s="48" t="b">
        <f t="shared" ref="D76:I76" si="223">VLOOKUP($A76, INDIRECT(D$1&amp;"!A:C"), 3, FALSE)</f>
        <v>1</v>
      </c>
      <c r="E76" s="48" t="str">
        <f t="shared" si="223"/>
        <v>TO DO</v>
      </c>
      <c r="F76" s="48" t="b">
        <f t="shared" si="223"/>
        <v>0</v>
      </c>
      <c r="G76" s="48" t="str">
        <f t="shared" si="223"/>
        <v>TO DO</v>
      </c>
      <c r="H76" s="48" t="b">
        <f t="shared" si="223"/>
        <v>0</v>
      </c>
      <c r="I76" s="48" t="b">
        <f t="shared" si="223"/>
        <v>1</v>
      </c>
      <c r="J76" s="49">
        <f t="shared" si="4"/>
        <v>0</v>
      </c>
      <c r="K76" s="50" t="str">
        <f t="shared" ref="K76:L76" si="224">VLOOKUP($A76, INDIRECT(K$1&amp;"!A:D"), 4, FALSE)</f>
        <v/>
      </c>
      <c r="L76" s="50" t="str">
        <f t="shared" si="224"/>
        <v/>
      </c>
      <c r="M76" s="50"/>
      <c r="N76" s="50" t="str">
        <f t="shared" ref="N76:P76" si="225">VLOOKUP($A76, INDIRECT(N$1&amp;"!A:D"), 4, FALSE)</f>
        <v/>
      </c>
      <c r="O76" s="50" t="str">
        <f t="shared" si="225"/>
        <v/>
      </c>
      <c r="P76" s="50" t="str">
        <f t="shared" si="225"/>
        <v>again only fact stating? Or can better tools to analyse crime and terror actually be seen as leverage point in the fight against crime?</v>
      </c>
      <c r="Q76" s="49" t="str">
        <f>IFERROR(__xludf.DUMMYFUNCTION("IF(COUNTA(K76:P76)=0, """", ARRAYFORMULA(""- ""&amp;TEXTJOIN(char(10)&amp;""- "", TRUE, FILTER(K$1:P$1&amp;"": ""&amp;K76:P76, NOT(ISBLANK(K76:P76))))))"),"- Steve: again only fact stating? Or can better tools to analyse crime and terror actually be seen as leverage point in the fight against crime?")</f>
        <v>- Steve: again only fact stating? Or can better tools to analyse crime and terror actually be seen as leverage point in the fight against crime?</v>
      </c>
      <c r="R76" s="49" t="s">
        <v>509</v>
      </c>
      <c r="S76" s="51" t="s">
        <v>476</v>
      </c>
    </row>
    <row r="77">
      <c r="A77" s="12" t="str">
        <f>IFERROR(__xludf.DUMMYFUNCTION("""COMPUTED_VALUE"""),"9824891b518f94ef81609428bbeb603e")</f>
        <v>9824891b518f94ef81609428bbeb603e</v>
      </c>
      <c r="B77" s="12" t="str">
        <f>IFERROR(__xludf.DUMMYFUNCTION("""COMPUTED_VALUE"""),"Violators of the criminal laws can be found in all age categories, including those defined as elderly offenders (65 and older). Older offenders have been convicted of almost all of the same types of crimes as those in other age categories, including viole"&amp;"nt crimes, such as murder, rape, armed robbery, and aggravated assault, property crimes, such as theft, destruction of property, and fraud, and crimes generally associated with organized crime or white-collar crime, such as extortion, money laundering, br"&amp;"ibery, and corruption as well as being convicted of public order crimes, such as public intoxication and loitering. The severity of the crimes of the older offenders ranges from the most serious felony crime, such as aggravated murder, to minor misdemeano"&amp;"r crimes, such as petty theft. Many, perhaps the majority of older offenders, are situational offenders, while others are considered chronic or habitual offenders.")</f>
        <v>Violators of the criminal laws can be found in all age categories, including those defined as elderly offenders (65 and older). Older offenders have been convicted of almost all of the same types of crimes as those in other age categories, including violent crimes, such as murder, rape, armed robbery, and aggravated assault, property crimes, such as theft, destruction of property, and fraud, and crimes generally associated with organized crime or white-collar crime, such as extortion, money laundering, bribery, and corruption as well as being convicted of public order crimes, such as public intoxication and loitering. The severity of the crimes of the older offenders ranges from the most serious felony crime, such as aggravated murder, to minor misdemeanor crimes, such as petty theft. Many, perhaps the majority of older offenders, are situational offenders, while others are considered chronic or habitual offenders.</v>
      </c>
      <c r="C77" s="53"/>
      <c r="D77" s="48" t="b">
        <f t="shared" ref="D77:I77" si="226">VLOOKUP($A77, INDIRECT(D$1&amp;"!A:C"), 3, FALSE)</f>
        <v>0</v>
      </c>
      <c r="E77" s="48" t="str">
        <f t="shared" si="226"/>
        <v>TO DO</v>
      </c>
      <c r="F77" s="48" t="b">
        <f t="shared" si="226"/>
        <v>0</v>
      </c>
      <c r="G77" s="48" t="str">
        <f t="shared" si="226"/>
        <v>TO DO</v>
      </c>
      <c r="H77" s="48" t="b">
        <f t="shared" si="226"/>
        <v>0</v>
      </c>
      <c r="I77" s="48" t="b">
        <f t="shared" si="226"/>
        <v>0</v>
      </c>
      <c r="J77" s="49">
        <f t="shared" si="4"/>
        <v>1</v>
      </c>
      <c r="K77" s="50" t="str">
        <f t="shared" ref="K77:L77" si="227">VLOOKUP($A77, INDIRECT(K$1&amp;"!A:D"), 4, FALSE)</f>
        <v/>
      </c>
      <c r="L77" s="50" t="str">
        <f t="shared" si="227"/>
        <v/>
      </c>
      <c r="M77" s="50"/>
      <c r="N77" s="50" t="str">
        <f t="shared" ref="N77:P77" si="228">VLOOKUP($A77, INDIRECT(N$1&amp;"!A:D"), 4, FALSE)</f>
        <v/>
      </c>
      <c r="O77" s="50" t="str">
        <f t="shared" si="228"/>
        <v/>
      </c>
      <c r="P77" s="50" t="str">
        <f t="shared" si="228"/>
        <v>only fact stating</v>
      </c>
      <c r="Q77" s="49" t="str">
        <f>IFERROR(__xludf.DUMMYFUNCTION("IF(COUNTA(K77:P77)=0, """", ARRAYFORMULA(""- ""&amp;TEXTJOIN(char(10)&amp;""- "", TRUE, FILTER(K$1:P$1&amp;"": ""&amp;K77:P77, NOT(ISBLANK(K77:P77))))))"),"- Steve: only fact stating")</f>
        <v>- Steve: only fact stating</v>
      </c>
      <c r="R77" s="49" t="s">
        <v>510</v>
      </c>
      <c r="S77" s="51" t="b">
        <v>0</v>
      </c>
    </row>
    <row r="78">
      <c r="A78" s="12" t="str">
        <f>IFERROR(__xludf.DUMMYFUNCTION("""COMPUTED_VALUE"""),"1b97ba685ac3a971f21d6e621137f7d3")</f>
        <v>1b97ba685ac3a971f21d6e621137f7d3</v>
      </c>
      <c r="B78" s="12" t="str">
        <f>IFERROR(__xludf.DUMMYFUNCTION("""COMPUTED_VALUE"""),"The way individuals perceive their risk to certain threats influences their adoption of preventive behaviour. This study explored sex workers perception of risk of HIV infection within the context of other serious threats. The study was carried out in Kam"&amp;"pala Uganda using peer ethnography. Sex workers were well aware of their risk of HIV infection but this risk was eclipsed by other more immediate and frightening threats. Sex workers willingness to gamble with HIV is explained by the fact that their exist"&amp;"ence is already very dangerous and taking risks is an inherent part of their trade. Decriminalising sex work could make their lives somewhat safer motivating them to better protect themselves but this is unlikely to happen in Uganda. Attempting to enforce"&amp;" some coercive control mechanisms would not work given the pervasive corruption in law enforcement and the judiciary the institutions that would be responsible for implementing such control.")</f>
        <v>The way individuals perceive their risk to certain threats influences their adoption of preventive behaviour. This study explored sex workers perception of risk of HIV infection within the context of other serious threats. The study was carried out in Kampala Uganda using peer ethnography. Sex workers were well aware of their risk of HIV infection but this risk was eclipsed by other more immediate and frightening threats. Sex workers willingness to gamble with HIV is explained by the fact that their existence is already very dangerous and taking risks is an inherent part of their trade. Decriminalising sex work could make their lives somewhat safer motivating them to better protect themselves but this is unlikely to happen in Uganda. Attempting to enforce some coercive control mechanisms would not work given the pervasive corruption in law enforcement and the judiciary the institutions that would be responsible for implementing such control.</v>
      </c>
      <c r="C78" s="53" t="s">
        <v>483</v>
      </c>
      <c r="D78" s="48" t="b">
        <f t="shared" ref="D78:I78" si="229">VLOOKUP($A78, INDIRECT(D$1&amp;"!A:C"), 3, FALSE)</f>
        <v>1</v>
      </c>
      <c r="E78" s="48" t="str">
        <f t="shared" si="229"/>
        <v>TO DO</v>
      </c>
      <c r="F78" s="48" t="b">
        <f t="shared" si="229"/>
        <v>0</v>
      </c>
      <c r="G78" s="48" t="str">
        <f t="shared" si="229"/>
        <v>TO DO</v>
      </c>
      <c r="H78" s="48" t="b">
        <f t="shared" si="229"/>
        <v>1</v>
      </c>
      <c r="I78" s="48" t="b">
        <f t="shared" si="229"/>
        <v>1</v>
      </c>
      <c r="J78" s="49">
        <f t="shared" si="4"/>
        <v>0.5</v>
      </c>
      <c r="K78" s="50" t="str">
        <f t="shared" ref="K78:L78" si="230">VLOOKUP($A78, INDIRECT(K$1&amp;"!A:D"), 4, FALSE)</f>
        <v>corruption in law enforcement</v>
      </c>
      <c r="L78" s="50" t="str">
        <f t="shared" si="230"/>
        <v/>
      </c>
      <c r="M78" s="50"/>
      <c r="N78" s="50" t="str">
        <f t="shared" ref="N78:P78" si="231">VLOOKUP($A78, INDIRECT(N$1&amp;"!A:D"), 4, FALSE)</f>
        <v/>
      </c>
      <c r="O78" s="50" t="str">
        <f t="shared" si="231"/>
        <v/>
      </c>
      <c r="P78" s="50" t="str">
        <f t="shared" si="231"/>
        <v>last sentence on corruption</v>
      </c>
      <c r="Q78" s="49" t="str">
        <f>IFERROR(__xludf.DUMMYFUNCTION("IF(COUNTA(K78:P78)=0, """", ARRAYFORMULA(""- ""&amp;TEXTJOIN(char(10)&amp;""- "", TRUE, FILTER(K$1:P$1&amp;"": ""&amp;K78:P78, NOT(ISBLANK(K78:P78))))))"),"- Finn: corruption in law enforcement
- Steve: last sentence on corruption")</f>
        <v>- Finn: corruption in law enforcement
- Steve: last sentence on corruption</v>
      </c>
      <c r="R78" s="49" t="s">
        <v>511</v>
      </c>
      <c r="S78" s="51" t="s">
        <v>476</v>
      </c>
    </row>
    <row r="79">
      <c r="A79" s="12" t="str">
        <f>IFERROR(__xludf.DUMMYFUNCTION("""COMPUTED_VALUE"""),"fa73e4f96a967b283c905a5e5ec137c6")</f>
        <v>fa73e4f96a967b283c905a5e5ec137c6</v>
      </c>
      <c r="B79" s="12" t="str">
        <f>IFERROR(__xludf.DUMMYFUNCTION("""COMPUTED_VALUE"""),"Corruption has serious economic and social costs and can undermine government legitimacy. Economic analysis can help one understand the incentives for bribery and extortion and the deterrent effect of the law. Such analysis suggests that the law in many j"&amp;"urisdictions ought to be redesigned. Penalties are poorly tied to the marginal benefits of bribery. Small bribes often are more effectively deterred than larger ones because penalties are not tied to the perpetrators' gains. Economic analysis also highlig"&amp;"hts the tension between obtaining evidence to bring a case ex post and deterrence ex ante. Furthermore, enforcement programs have not incorporated bureaucratic structure in a sophisticated way, and in many countries the criminal law only applies to indivi"&amp;"duals, not firms. In short, economic analysis can help guide the reform debate by proposing workable law enforcement strategies for the control of bribery and extortion.")</f>
        <v>Corruption has serious economic and social costs and can undermine government legitimacy. Economic analysis can help one understand the incentives for bribery and extortion and the deterrent effect of the law. Such analysis suggests that the law in many jurisdictions ought to be redesigned. Penalties are poorly tied to the marginal benefits of bribery. Small bribes often are more effectively deterred than larger ones because penalties are not tied to the perpetrators' gains. Economic analysis also highlights the tension between obtaining evidence to bring a case ex post and deterrence ex ante. Furthermore, enforcement programs have not incorporated bureaucratic structure in a sophisticated way, and in many countries the criminal law only applies to individuals, not firms. In short, economic analysis can help guide the reform debate by proposing workable law enforcement strategies for the control of bribery and extortion.</v>
      </c>
      <c r="C79" s="52"/>
      <c r="D79" s="48" t="b">
        <f t="shared" ref="D79:I79" si="232">VLOOKUP($A79, INDIRECT(D$1&amp;"!A:C"), 3, FALSE)</f>
        <v>1</v>
      </c>
      <c r="E79" s="48" t="str">
        <f t="shared" si="232"/>
        <v>TO DO</v>
      </c>
      <c r="F79" s="48" t="b">
        <f t="shared" si="232"/>
        <v>1</v>
      </c>
      <c r="G79" s="48" t="str">
        <f t="shared" si="232"/>
        <v>TO DO</v>
      </c>
      <c r="H79" s="48" t="b">
        <f t="shared" si="232"/>
        <v>1</v>
      </c>
      <c r="I79" s="48" t="b">
        <f t="shared" si="232"/>
        <v>1</v>
      </c>
      <c r="J79" s="49">
        <f t="shared" si="4"/>
        <v>1</v>
      </c>
      <c r="K79" s="50" t="str">
        <f t="shared" ref="K79:L79" si="233">VLOOKUP($A79, INDIRECT(K$1&amp;"!A:D"), 4, FALSE)</f>
        <v/>
      </c>
      <c r="L79" s="50" t="str">
        <f t="shared" si="233"/>
        <v/>
      </c>
      <c r="M79" s="50"/>
      <c r="N79" s="50" t="str">
        <f t="shared" ref="N79:P79" si="234">VLOOKUP($A79, INDIRECT(N$1&amp;"!A:D"), 4, FALSE)</f>
        <v/>
      </c>
      <c r="O79" s="50" t="str">
        <f t="shared" si="234"/>
        <v/>
      </c>
      <c r="P79" s="50" t="str">
        <f t="shared" si="234"/>
        <v/>
      </c>
      <c r="Q79" s="49" t="str">
        <f>IFERROR(__xludf.DUMMYFUNCTION("IF(COUNTA(K79:P79)=0, """", ARRAYFORMULA(""- ""&amp;TEXTJOIN(char(10)&amp;""- "", TRUE, FILTER(K$1:P$1&amp;"": ""&amp;K79:P79, NOT(ISBLANK(K79:P79))))))"),"")</f>
        <v/>
      </c>
      <c r="R79" s="49" t="s">
        <v>473</v>
      </c>
      <c r="S79" s="51" t="b">
        <v>1</v>
      </c>
    </row>
    <row r="80">
      <c r="A80" s="12" t="str">
        <f>IFERROR(__xludf.DUMMYFUNCTION("""COMPUTED_VALUE"""),"7804307be23c67acc701ff1706e922f7")</f>
        <v>7804307be23c67acc701ff1706e922f7</v>
      </c>
      <c r="B80" s="12" t="str">
        <f>IFERROR(__xludf.DUMMYFUNCTION("""COMPUTED_VALUE"""),"The impact of corporate governance on banking firms has been widely documented in the literature. Noticeably absent is an extensive examination of the impact of country governance on the efficiency of banking firms. This limitation is surprising, given th"&amp;"e fact that the banking sector remains the most important channel for savings and allocations of credit in the economy. By using data on 454 Islamic and conventional banks from 19 countries offering Islamic banking and finance products and services, this "&amp;"chapter attempts to fill this demanding gap. We find that voice and accountability positively influence the efficiency of both Islamic and conventional banks. On the other hand, we observe the negative impact of political stability, absence of violence an"&amp;"d control of corruption. The findings indicate that government effectiveness, regulatory quality and rule of law negatively influence the efficiency of conventional banks, but not so in the case of Islamic banks.")</f>
        <v>The impact of corporate governance on banking firms has been widely documented in the literature. Noticeably absent is an extensive examination of the impact of country governance on the efficiency of banking firms. This limitation is surprising, given the fact that the banking sector remains the most important channel for savings and allocations of credit in the economy. By using data on 454 Islamic and conventional banks from 19 countries offering Islamic banking and finance products and services, this chapter attempts to fill this demanding gap. We find that voice and accountability positively influence the efficiency of both Islamic and conventional banks. On the other hand, we observe the negative impact of political stability, absence of violence and control of corruption. The findings indicate that government effectiveness, regulatory quality and rule of law negatively influence the efficiency of conventional banks, but not so in the case of Islamic banks.</v>
      </c>
      <c r="C80" s="52"/>
      <c r="D80" s="48" t="b">
        <f t="shared" ref="D80:I80" si="235">VLOOKUP($A80, INDIRECT(D$1&amp;"!A:C"), 3, FALSE)</f>
        <v>1</v>
      </c>
      <c r="E80" s="48" t="str">
        <f t="shared" si="235"/>
        <v>TO DO</v>
      </c>
      <c r="F80" s="48" t="b">
        <f t="shared" si="235"/>
        <v>1</v>
      </c>
      <c r="G80" s="48" t="str">
        <f t="shared" si="235"/>
        <v>TO DO</v>
      </c>
      <c r="H80" s="48" t="b">
        <f t="shared" si="235"/>
        <v>1</v>
      </c>
      <c r="I80" s="48" t="b">
        <f t="shared" si="235"/>
        <v>1</v>
      </c>
      <c r="J80" s="49">
        <f t="shared" si="4"/>
        <v>1</v>
      </c>
      <c r="K80" s="50" t="str">
        <f t="shared" ref="K80:L80" si="236">VLOOKUP($A80, INDIRECT(K$1&amp;"!A:D"), 4, FALSE)</f>
        <v/>
      </c>
      <c r="L80" s="50" t="str">
        <f t="shared" si="236"/>
        <v/>
      </c>
      <c r="M80" s="50"/>
      <c r="N80" s="50" t="str">
        <f t="shared" ref="N80:P80" si="237">VLOOKUP($A80, INDIRECT(N$1&amp;"!A:D"), 4, FALSE)</f>
        <v/>
      </c>
      <c r="O80" s="50" t="str">
        <f t="shared" si="237"/>
        <v/>
      </c>
      <c r="P80" s="50" t="str">
        <f t="shared" si="237"/>
        <v/>
      </c>
      <c r="Q80" s="49" t="str">
        <f>IFERROR(__xludf.DUMMYFUNCTION("IF(COUNTA(K80:P80)=0, """", ARRAYFORMULA(""- ""&amp;TEXTJOIN(char(10)&amp;""- "", TRUE, FILTER(K$1:P$1&amp;"": ""&amp;K80:P80, NOT(ISBLANK(K80:P80))))))"),"")</f>
        <v/>
      </c>
      <c r="R80" s="49" t="s">
        <v>473</v>
      </c>
      <c r="S80" s="51" t="b">
        <v>1</v>
      </c>
    </row>
    <row r="81">
      <c r="A81" s="12" t="str">
        <f>IFERROR(__xludf.DUMMYFUNCTION("""COMPUTED_VALUE"""),"e188d5dad3ba9aebb5b8d4c5bfbc33f7")</f>
        <v>e188d5dad3ba9aebb5b8d4c5bfbc33f7</v>
      </c>
      <c r="B81" s="12" t="str">
        <f>IFERROR(__xludf.DUMMYFUNCTION("""COMPUTED_VALUE"""),"How do strategies of state capture adapt to tight fiscal conditions? The article uses a historical institutionalist approach and content analysis to study the case of Greece. Three theoretically relevant patterns of institutional adaptation are unearthed:"&amp;" first, limited resources for state capture do indeed trigger self-limitation initiatives as expected, but these initiatives replace costly benefits with less costly ones. Second, different forms of capture have different implications for the terms of pol"&amp;"itical competition. Third, there is a mutually reinforcing relationship between clientelism and corruption, which becomes pronounced in the creative ways by which strategies of capture adjust to shifting opportunities and constraints. Clients are appointe"&amp;"d in state offices and extract bribes directly from citizens. ‘Client corruption’ replaces extraction from the state with extraction through the state, which is less costly for the public finances: the benefit the governing party gives to its clients is t"&amp;"he ‘right’ to extract rents for themselves.")</f>
        <v>How do strategies of state capture adapt to tight fiscal conditions? The article uses a historical institutionalist approach and content analysis to study the case of Greece. Three theoretically relevant patterns of institutional adaptation are unearthed: first, limited resources for state capture do indeed trigger self-limitation initiatives as expected, but these initiatives replace costly benefits with less costly ones. Second, different forms of capture have different implications for the terms of political competition. Third, there is a mutually reinforcing relationship between clientelism and corruption, which becomes pronounced in the creative ways by which strategies of capture adjust to shifting opportunities and constraints. Clients are appointed in state offices and extract bribes directly from citizens. ‘Client corruption’ replaces extraction from the state with extraction through the state, which is less costly for the public finances: the benefit the governing party gives to its clients is the ‘right’ to extract rents for themselves.</v>
      </c>
      <c r="C81" s="7"/>
      <c r="D81" s="48" t="b">
        <f t="shared" ref="D81:I81" si="238">VLOOKUP($A81, INDIRECT(D$1&amp;"!A:C"), 3, FALSE)</f>
        <v>1</v>
      </c>
      <c r="E81" s="48" t="str">
        <f t="shared" si="238"/>
        <v>TO DO</v>
      </c>
      <c r="F81" s="48" t="b">
        <f t="shared" si="238"/>
        <v>1</v>
      </c>
      <c r="G81" s="48" t="str">
        <f t="shared" si="238"/>
        <v>TO DO</v>
      </c>
      <c r="H81" s="48" t="b">
        <f t="shared" si="238"/>
        <v>1</v>
      </c>
      <c r="I81" s="48" t="b">
        <f t="shared" si="238"/>
        <v>1</v>
      </c>
      <c r="J81" s="49">
        <f t="shared" si="4"/>
        <v>1</v>
      </c>
      <c r="K81" s="50" t="str">
        <f t="shared" ref="K81:L81" si="239">VLOOKUP($A81, INDIRECT(K$1&amp;"!A:D"), 4, FALSE)</f>
        <v/>
      </c>
      <c r="L81" s="50" t="str">
        <f t="shared" si="239"/>
        <v/>
      </c>
      <c r="M81" s="50"/>
      <c r="N81" s="50" t="str">
        <f t="shared" ref="N81:P81" si="240">VLOOKUP($A81, INDIRECT(N$1&amp;"!A:D"), 4, FALSE)</f>
        <v/>
      </c>
      <c r="O81" s="50" t="str">
        <f t="shared" si="240"/>
        <v/>
      </c>
      <c r="P81" s="50" t="str">
        <f t="shared" si="240"/>
        <v/>
      </c>
      <c r="Q81" s="49" t="str">
        <f>IFERROR(__xludf.DUMMYFUNCTION("IF(COUNTA(K81:P81)=0, """", ARRAYFORMULA(""- ""&amp;TEXTJOIN(char(10)&amp;""- "", TRUE, FILTER(K$1:P$1&amp;"": ""&amp;K81:P81, NOT(ISBLANK(K81:P81))))))"),"")</f>
        <v/>
      </c>
      <c r="R81" s="49" t="s">
        <v>473</v>
      </c>
      <c r="S81" s="51" t="b">
        <v>1</v>
      </c>
    </row>
    <row r="82">
      <c r="A82" s="12" t="str">
        <f>IFERROR(__xludf.DUMMYFUNCTION("""COMPUTED_VALUE"""),"113d06a4bd27af8bd0bcf6775e59960b")</f>
        <v>113d06a4bd27af8bd0bcf6775e59960b</v>
      </c>
      <c r="B82" s="12" t="str">
        <f>IFERROR(__xludf.DUMMYFUNCTION("""COMPUTED_VALUE"""),"Good governance—which includes accountability, transparency, an effective bureaucracy, regulatory quality, electoral competition, political checks and balances and rule of law—is considered the single most important factor in eradicating poverty and promo"&amp;"ting development. The article discusses changes that have taken place in India with regard to governance reforms, focusing on reforms related to decentralisation. A review of available evidence does not provide any definitive conclusion about the effectiv"&amp;"eness of decentralisation in facilitating democratic deepening and improving the responsiveness of government. In most cases, decentralisation has failed to bring popular participation and accountability to local government, thereby making it less respons"&amp;"ive to citizens’ desires and less effective in delivering services. Appropriate institutions, rules and incentive mechanisms are needed to link the citizens with government. Capacity development of the citizens and conscious and combined efforts by govern"&amp;"...")</f>
        <v>Good governance—which includes accountability, transparency, an effective bureaucracy, regulatory quality, electoral competition, political checks and balances and rule of law—is considered the single most important factor in eradicating poverty and promoting development. The article discusses changes that have taken place in India with regard to governance reforms, focusing on reforms related to decentralisation. A review of available evidence does not provide any definitive conclusion about the effectiveness of decentralisation in facilitating democratic deepening and improving the responsiveness of government. In most cases, decentralisation has failed to bring popular participation and accountability to local government, thereby making it less responsive to citizens’ desires and less effective in delivering services. Appropriate institutions, rules and incentive mechanisms are needed to link the citizens with government. Capacity development of the citizens and conscious and combined efforts by govern...</v>
      </c>
      <c r="C82" s="52"/>
      <c r="D82" s="48" t="b">
        <f t="shared" ref="D82:I82" si="241">VLOOKUP($A82, INDIRECT(D$1&amp;"!A:C"), 3, FALSE)</f>
        <v>1</v>
      </c>
      <c r="E82" s="48" t="str">
        <f t="shared" si="241"/>
        <v>TO DO</v>
      </c>
      <c r="F82" s="48" t="b">
        <f t="shared" si="241"/>
        <v>1</v>
      </c>
      <c r="G82" s="48" t="str">
        <f t="shared" si="241"/>
        <v>TO DO</v>
      </c>
      <c r="H82" s="48" t="b">
        <f t="shared" si="241"/>
        <v>1</v>
      </c>
      <c r="I82" s="48" t="b">
        <f t="shared" si="241"/>
        <v>1</v>
      </c>
      <c r="J82" s="49">
        <f t="shared" si="4"/>
        <v>1</v>
      </c>
      <c r="K82" s="50" t="str">
        <f t="shared" ref="K82:L82" si="242">VLOOKUP($A82, INDIRECT(K$1&amp;"!A:D"), 4, FALSE)</f>
        <v/>
      </c>
      <c r="L82" s="50" t="str">
        <f t="shared" si="242"/>
        <v/>
      </c>
      <c r="M82" s="50"/>
      <c r="N82" s="50" t="str">
        <f t="shared" ref="N82:P82" si="243">VLOOKUP($A82, INDIRECT(N$1&amp;"!A:D"), 4, FALSE)</f>
        <v/>
      </c>
      <c r="O82" s="50" t="str">
        <f t="shared" si="243"/>
        <v/>
      </c>
      <c r="P82" s="50" t="str">
        <f t="shared" si="243"/>
        <v/>
      </c>
      <c r="Q82" s="49" t="str">
        <f>IFERROR(__xludf.DUMMYFUNCTION("IF(COUNTA(K82:P82)=0, """", ARRAYFORMULA(""- ""&amp;TEXTJOIN(char(10)&amp;""- "", TRUE, FILTER(K$1:P$1&amp;"": ""&amp;K82:P82, NOT(ISBLANK(K82:P82))))))"),"")</f>
        <v/>
      </c>
      <c r="R82" s="49" t="s">
        <v>473</v>
      </c>
      <c r="S82" s="51" t="b">
        <v>1</v>
      </c>
    </row>
    <row r="83">
      <c r="A83" s="12" t="str">
        <f>IFERROR(__xludf.DUMMYFUNCTION("""COMPUTED_VALUE"""),"08b464df8ef314726634cf74596c8584")</f>
        <v>08b464df8ef314726634cf74596c8584</v>
      </c>
      <c r="B83" s="12" t="str">
        <f>IFERROR(__xludf.DUMMYFUNCTION("""COMPUTED_VALUE"""),"The aim of this study is to share interdisciplinary reflections on collective health conducted in the Collective Health discipline at the undergraduate level of a higher education institution in Rio Grande do Sul. This is a descriptive, exploratory and qu"&amp;"alitative research, with forty and five students from the Collective Health discipline as participants. Data collection occurred through the performance of a concept map activity, being analyzed with approximations of Bardin's Content Analysis (2016). It "&amp;"was found that students understand the importance of collective health in their training contexts, inferring about important aspects identified in mental maps. The articulations between collective health and secondary themes stimulated the construction of"&amp;" effective and constructive problematizations about the theme with emphasis on interdisciplinary practices. Thus, the study enabled the exchange of information and comprehensive reflection on public health and the interdisciplinary performance of students"&amp;".")</f>
        <v>The aim of this study is to share interdisciplinary reflections on collective health conducted in the Collective Health discipline at the undergraduate level of a higher education institution in Rio Grande do Sul. This is a descriptive, exploratory and qualitative research, with forty and five students from the Collective Health discipline as participants. Data collection occurred through the performance of a concept map activity, being analyzed with approximations of Bardin's Content Analysis (2016). It was found that students understand the importance of collective health in their training contexts, inferring about important aspects identified in mental maps. The articulations between collective health and secondary themes stimulated the construction of effective and constructive problematizations about the theme with emphasis on interdisciplinary practices. Thus, the study enabled the exchange of information and comprehensive reflection on public health and the interdisciplinary performance of students.</v>
      </c>
      <c r="C83" s="52"/>
      <c r="D83" s="48" t="b">
        <f t="shared" ref="D83:I83" si="244">VLOOKUP($A83, INDIRECT(D$1&amp;"!A:C"), 3, FALSE)</f>
        <v>0</v>
      </c>
      <c r="E83" s="48" t="str">
        <f t="shared" si="244"/>
        <v>TO DO</v>
      </c>
      <c r="F83" s="48" t="b">
        <f t="shared" si="244"/>
        <v>0</v>
      </c>
      <c r="G83" s="48" t="str">
        <f t="shared" si="244"/>
        <v>TO DO</v>
      </c>
      <c r="H83" s="48" t="b">
        <f t="shared" si="244"/>
        <v>0</v>
      </c>
      <c r="I83" s="48" t="b">
        <f t="shared" si="244"/>
        <v>0</v>
      </c>
      <c r="J83" s="49">
        <f t="shared" si="4"/>
        <v>1</v>
      </c>
      <c r="K83" s="50" t="str">
        <f t="shared" ref="K83:L83" si="245">VLOOKUP($A83, INDIRECT(K$1&amp;"!A:D"), 4, FALSE)</f>
        <v/>
      </c>
      <c r="L83" s="50" t="str">
        <f t="shared" si="245"/>
        <v/>
      </c>
      <c r="M83" s="50"/>
      <c r="N83" s="50" t="str">
        <f t="shared" ref="N83:P83" si="246">VLOOKUP($A83, INDIRECT(N$1&amp;"!A:D"), 4, FALSE)</f>
        <v/>
      </c>
      <c r="O83" s="50" t="str">
        <f t="shared" si="246"/>
        <v/>
      </c>
      <c r="P83" s="50" t="str">
        <f t="shared" si="246"/>
        <v/>
      </c>
      <c r="Q83" s="49" t="str">
        <f>IFERROR(__xludf.DUMMYFUNCTION("IF(COUNTA(K83:P83)=0, """", ARRAYFORMULA(""- ""&amp;TEXTJOIN(char(10)&amp;""- "", TRUE, FILTER(K$1:P$1&amp;"": ""&amp;K83:P83, NOT(ISBLANK(K83:P83))))))"),"")</f>
        <v/>
      </c>
      <c r="R83" s="49" t="s">
        <v>473</v>
      </c>
      <c r="S83" s="51" t="b">
        <v>0</v>
      </c>
    </row>
    <row r="84">
      <c r="A84" s="12" t="str">
        <f>IFERROR(__xludf.DUMMYFUNCTION("""COMPUTED_VALUE"""),"cb6ea4d1ce84190533e240732130087b")</f>
        <v>cb6ea4d1ce84190533e240732130087b</v>
      </c>
      <c r="B84" s="12" t="str">
        <f>IFERROR(__xludf.DUMMYFUNCTION("""COMPUTED_VALUE"""),"This article examines two key components of the Australian Government’s data surveillance framework and critiques their impact on journalistic confidentiality. The 2015 mandatory data retention scheme and the 2018 telecommunications industry assistance sc"&amp;"heme have been the subjects of considerable controversy and ongoing parliamentary reviews. The combined effect of these provisions is that journalists are unable to confidently fulfil their ethical obligation to maintain source confidentiality. The articl"&amp;"e recommends targeted reforms to more explicitly and appropriately balance the public interest in journalistic confidentiality (and relatedly, democracy, public accountability and the rule of law) against law enforcement and national security objectives.")</f>
        <v>This article examines two key components of the Australian Government’s data surveillance framework and critiques their impact on journalistic confidentiality. The 2015 mandatory data retention scheme and the 2018 telecommunications industry assistance scheme have been the subjects of considerable controversy and ongoing parliamentary reviews. The combined effect of these provisions is that journalists are unable to confidently fulfil their ethical obligation to maintain source confidentiality. The article recommends targeted reforms to more explicitly and appropriately balance the public interest in journalistic confidentiality (and relatedly, democracy, public accountability and the rule of law) against law enforcement and national security objectives.</v>
      </c>
      <c r="C84" s="53"/>
      <c r="D84" s="48" t="b">
        <f t="shared" ref="D84:I84" si="247">VLOOKUP($A84, INDIRECT(D$1&amp;"!A:C"), 3, FALSE)</f>
        <v>1</v>
      </c>
      <c r="E84" s="48" t="str">
        <f t="shared" si="247"/>
        <v>TO DO</v>
      </c>
      <c r="F84" s="48" t="b">
        <f t="shared" si="247"/>
        <v>1</v>
      </c>
      <c r="G84" s="48" t="str">
        <f t="shared" si="247"/>
        <v>TO DO</v>
      </c>
      <c r="H84" s="48" t="b">
        <f t="shared" si="247"/>
        <v>1</v>
      </c>
      <c r="I84" s="48" t="b">
        <f t="shared" si="247"/>
        <v>1</v>
      </c>
      <c r="J84" s="49">
        <f t="shared" si="4"/>
        <v>1</v>
      </c>
      <c r="K84" s="50" t="str">
        <f t="shared" ref="K84:L84" si="248">VLOOKUP($A84, INDIRECT(K$1&amp;"!A:D"), 4, FALSE)</f>
        <v/>
      </c>
      <c r="L84" s="50" t="str">
        <f t="shared" si="248"/>
        <v/>
      </c>
      <c r="M84" s="50"/>
      <c r="N84" s="50" t="str">
        <f t="shared" ref="N84:P84" si="249">VLOOKUP($A84, INDIRECT(N$1&amp;"!A:D"), 4, FALSE)</f>
        <v/>
      </c>
      <c r="O84" s="50" t="str">
        <f t="shared" si="249"/>
        <v/>
      </c>
      <c r="P84" s="50" t="str">
        <f t="shared" si="249"/>
        <v/>
      </c>
      <c r="Q84" s="49" t="str">
        <f>IFERROR(__xludf.DUMMYFUNCTION("IF(COUNTA(K84:P84)=0, """", ARRAYFORMULA(""- ""&amp;TEXTJOIN(char(10)&amp;""- "", TRUE, FILTER(K$1:P$1&amp;"": ""&amp;K84:P84, NOT(ISBLANK(K84:P84))))))"),"")</f>
        <v/>
      </c>
      <c r="R84" s="49" t="s">
        <v>473</v>
      </c>
      <c r="S84" s="51" t="b">
        <v>1</v>
      </c>
    </row>
    <row r="85">
      <c r="A85" s="12" t="str">
        <f>IFERROR(__xludf.DUMMYFUNCTION("""COMPUTED_VALUE"""),"cc063ac157763a58e816353b5557e6a6")</f>
        <v>cc063ac157763a58e816353b5557e6a6</v>
      </c>
      <c r="B85" s="12" t="str">
        <f>IFERROR(__xludf.DUMMYFUNCTION("""COMPUTED_VALUE"""),"Institutions require performance management system for themselves and their personnel to evaluate, benchmark, develop, and determine training needs in compliance with performance criteria as productivity, efficiency, and thriftiness. Contemporary public m"&amp;"anagement, i.e., 5018 Public Finance Management and Control Act, adopting good governance principles as transparency, responsibility, accountability, and fairness, also attaches great importance to performance management. However, there is no performance "&amp;"management system employed by Turkish public management system. Therefore, performance audit is not performed. To this end, it is foreseen that perceptions of personnel be measured and survey be applied to a provincial unit of a public organization. Findi"&amp;"ngs reveal that performance management is not supported by high-level management and is not related to human resource practices such as career management, training and development, job valuation, and a management style in compliance with good governance w"&amp;"hich is not adopted.")</f>
        <v>Institutions require performance management system for themselves and their personnel to evaluate, benchmark, develop, and determine training needs in compliance with performance criteria as productivity, efficiency, and thriftiness. Contemporary public management, i.e., 5018 Public Finance Management and Control Act, adopting good governance principles as transparency, responsibility, accountability, and fairness, also attaches great importance to performance management. However, there is no performance management system employed by Turkish public management system. Therefore, performance audit is not performed. To this end, it is foreseen that perceptions of personnel be measured and survey be applied to a provincial unit of a public organization. Findings reveal that performance management is not supported by high-level management and is not related to human resource practices such as career management, training and development, job valuation, and a management style in compliance with good governance which is not adopted.</v>
      </c>
      <c r="C85" s="53"/>
      <c r="D85" s="48" t="b">
        <f t="shared" ref="D85:I85" si="250">VLOOKUP($A85, INDIRECT(D$1&amp;"!A:C"), 3, FALSE)</f>
        <v>1</v>
      </c>
      <c r="E85" s="48" t="str">
        <f t="shared" si="250"/>
        <v>TO DO</v>
      </c>
      <c r="F85" s="48" t="b">
        <f t="shared" si="250"/>
        <v>1</v>
      </c>
      <c r="G85" s="48" t="str">
        <f t="shared" si="250"/>
        <v>TO DO</v>
      </c>
      <c r="H85" s="48" t="b">
        <f t="shared" si="250"/>
        <v>1</v>
      </c>
      <c r="I85" s="48" t="b">
        <f t="shared" si="250"/>
        <v>1</v>
      </c>
      <c r="J85" s="49">
        <f t="shared" si="4"/>
        <v>1</v>
      </c>
      <c r="K85" s="50" t="str">
        <f t="shared" ref="K85:L85" si="251">VLOOKUP($A85, INDIRECT(K$1&amp;"!A:D"), 4, FALSE)</f>
        <v/>
      </c>
      <c r="L85" s="50" t="str">
        <f t="shared" si="251"/>
        <v/>
      </c>
      <c r="M85" s="50"/>
      <c r="N85" s="50" t="str">
        <f t="shared" ref="N85:P85" si="252">VLOOKUP($A85, INDIRECT(N$1&amp;"!A:D"), 4, FALSE)</f>
        <v/>
      </c>
      <c r="O85" s="50" t="str">
        <f t="shared" si="252"/>
        <v/>
      </c>
      <c r="P85" s="50" t="str">
        <f t="shared" si="252"/>
        <v/>
      </c>
      <c r="Q85" s="49" t="str">
        <f>IFERROR(__xludf.DUMMYFUNCTION("IF(COUNTA(K85:P85)=0, """", ARRAYFORMULA(""- ""&amp;TEXTJOIN(char(10)&amp;""- "", TRUE, FILTER(K$1:P$1&amp;"": ""&amp;K85:P85, NOT(ISBLANK(K85:P85))))))"),"")</f>
        <v/>
      </c>
      <c r="R85" s="49" t="s">
        <v>473</v>
      </c>
      <c r="S85" s="51" t="b">
        <v>1</v>
      </c>
    </row>
    <row r="86">
      <c r="A86" s="12" t="str">
        <f>IFERROR(__xludf.DUMMYFUNCTION("""COMPUTED_VALUE"""),"421f2a03cad3bb12c2a8df8ecfc59448")</f>
        <v>421f2a03cad3bb12c2a8df8ecfc59448</v>
      </c>
      <c r="B86" s="12" t="str">
        <f>IFERROR(__xludf.DUMMYFUNCTION("""COMPUTED_VALUE"""),"This article is devoted to the application of law in the legal order of the Council of Europe. It presents guidelines for the decision-making process of the application of law applied in the legal area of the European Convention on Human Rights and the Eu"&amp;"ropean Social Charter. The aim of this article is to present the characteristics of the decision-making process of the application of law in terms of human rights protection on European and supranational level, as well as the differences between such proc"&amp;"esses carried out on the basis of the ECHR and the ESC.")</f>
        <v>This article is devoted to the application of law in the legal order of the Council of Europe. It presents guidelines for the decision-making process of the application of law applied in the legal area of the European Convention on Human Rights and the European Social Charter. The aim of this article is to present the characteristics of the decision-making process of the application of law in terms of human rights protection on European and supranational level, as well as the differences between such processes carried out on the basis of the ECHR and the ESC.</v>
      </c>
      <c r="C86" s="7"/>
      <c r="D86" s="48" t="b">
        <f t="shared" ref="D86:I86" si="253">VLOOKUP($A86, INDIRECT(D$1&amp;"!A:C"), 3, FALSE)</f>
        <v>1</v>
      </c>
      <c r="E86" s="48" t="str">
        <f t="shared" si="253"/>
        <v>TO DO</v>
      </c>
      <c r="F86" s="48" t="b">
        <f t="shared" si="253"/>
        <v>1</v>
      </c>
      <c r="G86" s="48" t="str">
        <f t="shared" si="253"/>
        <v>TO DO</v>
      </c>
      <c r="H86" s="48" t="b">
        <f t="shared" si="253"/>
        <v>1</v>
      </c>
      <c r="I86" s="48" t="b">
        <f t="shared" si="253"/>
        <v>1</v>
      </c>
      <c r="J86" s="49">
        <f t="shared" si="4"/>
        <v>1</v>
      </c>
      <c r="K86" s="50" t="str">
        <f t="shared" ref="K86:L86" si="254">VLOOKUP($A86, INDIRECT(K$1&amp;"!A:D"), 4, FALSE)</f>
        <v/>
      </c>
      <c r="L86" s="50" t="str">
        <f t="shared" si="254"/>
        <v/>
      </c>
      <c r="M86" s="50"/>
      <c r="N86" s="50" t="str">
        <f t="shared" ref="N86:P86" si="255">VLOOKUP($A86, INDIRECT(N$1&amp;"!A:D"), 4, FALSE)</f>
        <v/>
      </c>
      <c r="O86" s="50" t="str">
        <f t="shared" si="255"/>
        <v/>
      </c>
      <c r="P86" s="50" t="str">
        <f t="shared" si="255"/>
        <v/>
      </c>
      <c r="Q86" s="49" t="str">
        <f>IFERROR(__xludf.DUMMYFUNCTION("IF(COUNTA(K86:P86)=0, """", ARRAYFORMULA(""- ""&amp;TEXTJOIN(char(10)&amp;""- "", TRUE, FILTER(K$1:P$1&amp;"": ""&amp;K86:P86, NOT(ISBLANK(K86:P86))))))"),"")</f>
        <v/>
      </c>
      <c r="R86" s="49" t="s">
        <v>473</v>
      </c>
      <c r="S86" s="51" t="b">
        <v>1</v>
      </c>
    </row>
    <row r="87">
      <c r="A87" s="12" t="str">
        <f>IFERROR(__xludf.DUMMYFUNCTION("""COMPUTED_VALUE"""),"63c9a019c9f184d1053d345ef97701c0")</f>
        <v>63c9a019c9f184d1053d345ef97701c0</v>
      </c>
      <c r="B87" s="12" t="str">
        <f>IFERROR(__xludf.DUMMYFUNCTION("""COMPUTED_VALUE"""),"The COVID-19 pandemic forced higher education institutions to reexamine their modes of instruction for the Fall 2020 semester. Some institutions chose to re-open for in-person instruction, others chose online or hybrid modalities. While it is assumed that"&amp;" institutions took into account public health concerns when making the decision on how to reopen, other factors may have played a role. Leveraging mode of instruction data for 2,938 colleges and universities, this paper examines the political, epidemiolog"&amp;"ical, economic, and social factors related to Fall 2020 reopening plans. Surprisingly, it finds no discernible relationship between that county-level or state-level COVID-19 case counts and college or university reopening plan. Furthermore, campus demogra"&amp;"phics - such as White student enrollment - and state political characteristics - such as Governor's party - were related to campus mode of instruction decisions for the Fall 2020 semester.")</f>
        <v>The COVID-19 pandemic forced higher education institutions to reexamine their modes of instruction for the Fall 2020 semester. Some institutions chose to re-open for in-person instruction, others chose online or hybrid modalities. While it is assumed that institutions took into account public health concerns when making the decision on how to reopen, other factors may have played a role. Leveraging mode of instruction data for 2,938 colleges and universities, this paper examines the political, epidemiological, economic, and social factors related to Fall 2020 reopening plans. Surprisingly, it finds no discernible relationship between that county-level or state-level COVID-19 case counts and college or university reopening plan. Furthermore, campus demographics - such as White student enrollment - and state political characteristics - such as Governor's party - were related to campus mode of instruction decisions for the Fall 2020 semester.</v>
      </c>
      <c r="C87" s="7"/>
      <c r="D87" s="48" t="b">
        <f t="shared" ref="D87:I87" si="256">VLOOKUP($A87, INDIRECT(D$1&amp;"!A:C"), 3, FALSE)</f>
        <v>0</v>
      </c>
      <c r="E87" s="48" t="str">
        <f t="shared" si="256"/>
        <v>TO DO</v>
      </c>
      <c r="F87" s="48" t="b">
        <f t="shared" si="256"/>
        <v>0</v>
      </c>
      <c r="G87" s="48" t="str">
        <f t="shared" si="256"/>
        <v>TO DO</v>
      </c>
      <c r="H87" s="48" t="b">
        <f t="shared" si="256"/>
        <v>0</v>
      </c>
      <c r="I87" s="48" t="b">
        <f t="shared" si="256"/>
        <v>0</v>
      </c>
      <c r="J87" s="49">
        <f t="shared" si="4"/>
        <v>1</v>
      </c>
      <c r="K87" s="50" t="str">
        <f t="shared" ref="K87:L87" si="257">VLOOKUP($A87, INDIRECT(K$1&amp;"!A:D"), 4, FALSE)</f>
        <v/>
      </c>
      <c r="L87" s="50" t="str">
        <f t="shared" si="257"/>
        <v/>
      </c>
      <c r="M87" s="50"/>
      <c r="N87" s="50" t="str">
        <f t="shared" ref="N87:P87" si="258">VLOOKUP($A87, INDIRECT(N$1&amp;"!A:D"), 4, FALSE)</f>
        <v/>
      </c>
      <c r="O87" s="50" t="str">
        <f t="shared" si="258"/>
        <v/>
      </c>
      <c r="P87" s="50" t="str">
        <f t="shared" si="258"/>
        <v/>
      </c>
      <c r="Q87" s="49" t="str">
        <f>IFERROR(__xludf.DUMMYFUNCTION("IF(COUNTA(K87:P87)=0, """", ARRAYFORMULA(""- ""&amp;TEXTJOIN(char(10)&amp;""- "", TRUE, FILTER(K$1:P$1&amp;"": ""&amp;K87:P87, NOT(ISBLANK(K87:P87))))))"),"")</f>
        <v/>
      </c>
      <c r="R87" s="49" t="s">
        <v>473</v>
      </c>
      <c r="S87" s="51" t="b">
        <v>0</v>
      </c>
    </row>
    <row r="88">
      <c r="A88" s="12" t="str">
        <f>IFERROR(__xludf.DUMMYFUNCTION("""COMPUTED_VALUE"""),"49927e1f9df77a5acbc3147be006fa2f")</f>
        <v>49927e1f9df77a5acbc3147be006fa2f</v>
      </c>
      <c r="B88" s="12" t="str">
        <f>IFERROR(__xludf.DUMMYFUNCTION("""COMPUTED_VALUE"""),"Ethical leadership, decision making, legitimacy, and public trust are underlying themes throughout most emergency and crisis management case studies. Disasters are complex and dynamic, and often te...")</f>
        <v>Ethical leadership, decision making, legitimacy, and public trust are underlying themes throughout most emergency and crisis management case studies. Disasters are complex and dynamic, and often te...</v>
      </c>
      <c r="C88" s="7" t="s">
        <v>474</v>
      </c>
      <c r="D88" s="48" t="b">
        <f t="shared" ref="D88:I88" si="259">VLOOKUP($A88, INDIRECT(D$1&amp;"!A:C"), 3, FALSE)</f>
        <v>1</v>
      </c>
      <c r="E88" s="48" t="str">
        <f t="shared" si="259"/>
        <v>TO DO</v>
      </c>
      <c r="F88" s="48" t="b">
        <f t="shared" si="259"/>
        <v>0</v>
      </c>
      <c r="G88" s="48" t="str">
        <f t="shared" si="259"/>
        <v>TO DO</v>
      </c>
      <c r="H88" s="48" t="b">
        <f t="shared" si="259"/>
        <v>1</v>
      </c>
      <c r="I88" s="48" t="b">
        <f t="shared" si="259"/>
        <v>0</v>
      </c>
      <c r="J88" s="49">
        <f t="shared" si="4"/>
        <v>0</v>
      </c>
      <c r="K88" s="50" t="str">
        <f t="shared" ref="K88:L88" si="260">VLOOKUP($A88, INDIRECT(K$1&amp;"!A:D"), 4, FALSE)</f>
        <v/>
      </c>
      <c r="L88" s="50" t="str">
        <f t="shared" si="260"/>
        <v/>
      </c>
      <c r="M88" s="50"/>
      <c r="N88" s="50" t="str">
        <f t="shared" ref="N88:P88" si="261">VLOOKUP($A88, INDIRECT(N$1&amp;"!A:D"), 4, FALSE)</f>
        <v/>
      </c>
      <c r="O88" s="50" t="str">
        <f t="shared" si="261"/>
        <v/>
      </c>
      <c r="P88" s="50" t="str">
        <f t="shared" si="261"/>
        <v>no value</v>
      </c>
      <c r="Q88" s="49" t="str">
        <f>IFERROR(__xludf.DUMMYFUNCTION("IF(COUNTA(K88:P88)=0, """", ARRAYFORMULA(""- ""&amp;TEXTJOIN(char(10)&amp;""- "", TRUE, FILTER(K$1:P$1&amp;"": ""&amp;K88:P88, NOT(ISBLANK(K88:P88))))))"),"- Steve: no value")</f>
        <v>- Steve: no value</v>
      </c>
      <c r="R88" s="49" t="s">
        <v>512</v>
      </c>
      <c r="S88" s="51" t="s">
        <v>476</v>
      </c>
    </row>
    <row r="89">
      <c r="A89" s="12" t="str">
        <f>IFERROR(__xludf.DUMMYFUNCTION("""COMPUTED_VALUE"""),"b53df6a760ffa11837c70e90041eee2a")</f>
        <v>b53df6a760ffa11837c70e90041eee2a</v>
      </c>
      <c r="B89" s="12" t="str">
        <f>IFERROR(__xludf.DUMMYFUNCTION("""COMPUTED_VALUE"""),"In recent years, physical geography in Mexico has contributed to the enterprise of geographical science by integrating with fields of study closely related to topics of sustainable development. This paper outlines the contribution of the discipline to env"&amp;"ironmental public policy development, particularly ecological land use planning and integrated watershed management. In terms of applications, physical geography appears to have reached a stage of maturity in Mexico. However, it must offer a stronger lead"&amp;"ership in areas such as ecoregional analysis (in an integrated fashion, and not only from the biological-ecological perspective) and regional vulnerability to global change processes. An excellent opportunity exists for scientists and decision makers to d"&amp;"evelop a common agenda.")</f>
        <v>In recent years, physical geography in Mexico has contributed to the enterprise of geographical science by integrating with fields of study closely related to topics of sustainable development. This paper outlines the contribution of the discipline to environmental public policy development, particularly ecological land use planning and integrated watershed management. In terms of applications, physical geography appears to have reached a stage of maturity in Mexico. However, it must offer a stronger leadership in areas such as ecoregional analysis (in an integrated fashion, and not only from the biological-ecological perspective) and regional vulnerability to global change processes. An excellent opportunity exists for scientists and decision makers to develop a common agenda.</v>
      </c>
      <c r="C89" s="53" t="s">
        <v>483</v>
      </c>
      <c r="D89" s="48" t="b">
        <f t="shared" ref="D89:I89" si="262">VLOOKUP($A89, INDIRECT(D$1&amp;"!A:C"), 3, FALSE)</f>
        <v>1</v>
      </c>
      <c r="E89" s="48" t="str">
        <f t="shared" si="262"/>
        <v>TO DO</v>
      </c>
      <c r="F89" s="48" t="b">
        <f t="shared" si="262"/>
        <v>0</v>
      </c>
      <c r="G89" s="48" t="str">
        <f t="shared" si="262"/>
        <v>TO DO</v>
      </c>
      <c r="H89" s="48" t="b">
        <f t="shared" si="262"/>
        <v>0</v>
      </c>
      <c r="I89" s="48" t="b">
        <f t="shared" si="262"/>
        <v>0</v>
      </c>
      <c r="J89" s="49">
        <f t="shared" si="4"/>
        <v>0.5</v>
      </c>
      <c r="K89" s="50" t="str">
        <f t="shared" ref="K89:L89" si="263">VLOOKUP($A89, INDIRECT(K$1&amp;"!A:D"), 4, FALSE)</f>
        <v>public policy development</v>
      </c>
      <c r="L89" s="50" t="str">
        <f t="shared" si="263"/>
        <v/>
      </c>
      <c r="M89" s="50"/>
      <c r="N89" s="50" t="str">
        <f t="shared" ref="N89:P89" si="264">VLOOKUP($A89, INDIRECT(N$1&amp;"!A:D"), 4, FALSE)</f>
        <v/>
      </c>
      <c r="O89" s="50" t="str">
        <f t="shared" si="264"/>
        <v/>
      </c>
      <c r="P89" s="50" t="str">
        <f t="shared" si="264"/>
        <v>though vaguely links to 16.7 Ensure responsive, inclusive, participatory and representative decision-making at all levels.</v>
      </c>
      <c r="Q89" s="49" t="str">
        <f>IFERROR(__xludf.DUMMYFUNCTION("IF(COUNTA(K89:P89)=0, """", ARRAYFORMULA(""- ""&amp;TEXTJOIN(char(10)&amp;""- "", TRUE, FILTER(K$1:P$1&amp;"": ""&amp;K89:P89, NOT(ISBLANK(K89:P89))))))"),"- Finn: public policy development
- Steve: though vaguely links to 16.7 Ensure responsive, inclusive, participatory and representative decision-making at all levels.")</f>
        <v>- Finn: public policy development
- Steve: though vaguely links to 16.7 Ensure responsive, inclusive, participatory and representative decision-making at all levels.</v>
      </c>
      <c r="R89" s="49" t="s">
        <v>513</v>
      </c>
      <c r="S89" s="51" t="s">
        <v>476</v>
      </c>
    </row>
    <row r="90">
      <c r="A90" s="12" t="str">
        <f>IFERROR(__xludf.DUMMYFUNCTION("""COMPUTED_VALUE"""),"0a4a16cf3cbb001c70d763cf7874ca13")</f>
        <v>0a4a16cf3cbb001c70d763cf7874ca13</v>
      </c>
      <c r="B90" s="12" t="str">
        <f>IFERROR(__xludf.DUMMYFUNCTION("""COMPUTED_VALUE"""),"AbstractThis paper discusses the link between international migration and democratisation from an actor-oriented perspective on the basis of the mobilising efforts by key civil society actors engaged in the promotion of the rights of migrant workers throu"&amp;"gh developing strategies towards movement building and by capitalising on political opportunities that have appeared on the global level. Being pitched at the global level and at organising patterns via the network form, the analytical framework developed"&amp;" takes as its starting point global justice perspectives and then builds upon insights from social movement and constructivist International Relations scholarship. It is argued that what is emerging are (1) movement practices in migrant rights networks wh"&amp;"ich are putting forward increasingly coherent claims that transcend the conventional thinking about global governance and human rights (rights-assuming advocacy), and (2) that such practices are effectively transgressing interstate political arenas (parti"&amp;"...")</f>
        <v>AbstractThis paper discusses the link between international migration and democratisation from an actor-oriented perspective on the basis of the mobilising efforts by key civil society actors engaged in the promotion of the rights of migrant workers through developing strategies towards movement building and by capitalising on political opportunities that have appeared on the global level. Being pitched at the global level and at organising patterns via the network form, the analytical framework developed takes as its starting point global justice perspectives and then builds upon insights from social movement and constructivist International Relations scholarship. It is argued that what is emerging are (1) movement practices in migrant rights networks which are putting forward increasingly coherent claims that transcend the conventional thinking about global governance and human rights (rights-assuming advocacy), and (2) that such practices are effectively transgressing interstate political arenas (parti...</v>
      </c>
      <c r="C90" s="53"/>
      <c r="D90" s="48" t="b">
        <f t="shared" ref="D90:I90" si="265">VLOOKUP($A90, INDIRECT(D$1&amp;"!A:C"), 3, FALSE)</f>
        <v>1</v>
      </c>
      <c r="E90" s="48" t="str">
        <f t="shared" si="265"/>
        <v>TO DO</v>
      </c>
      <c r="F90" s="48" t="b">
        <f t="shared" si="265"/>
        <v>1</v>
      </c>
      <c r="G90" s="48" t="str">
        <f t="shared" si="265"/>
        <v>TO DO</v>
      </c>
      <c r="H90" s="48" t="b">
        <f t="shared" si="265"/>
        <v>1</v>
      </c>
      <c r="I90" s="48" t="b">
        <f t="shared" si="265"/>
        <v>1</v>
      </c>
      <c r="J90" s="49">
        <f t="shared" si="4"/>
        <v>1</v>
      </c>
      <c r="K90" s="50" t="str">
        <f t="shared" ref="K90:L90" si="266">VLOOKUP($A90, INDIRECT(K$1&amp;"!A:D"), 4, FALSE)</f>
        <v/>
      </c>
      <c r="L90" s="50" t="str">
        <f t="shared" si="266"/>
        <v/>
      </c>
      <c r="M90" s="50"/>
      <c r="N90" s="50" t="str">
        <f t="shared" ref="N90:P90" si="267">VLOOKUP($A90, INDIRECT(N$1&amp;"!A:D"), 4, FALSE)</f>
        <v/>
      </c>
      <c r="O90" s="50" t="str">
        <f t="shared" si="267"/>
        <v/>
      </c>
      <c r="P90" s="50" t="str">
        <f t="shared" si="267"/>
        <v/>
      </c>
      <c r="Q90" s="49" t="str">
        <f>IFERROR(__xludf.DUMMYFUNCTION("IF(COUNTA(K90:P90)=0, """", ARRAYFORMULA(""- ""&amp;TEXTJOIN(char(10)&amp;""- "", TRUE, FILTER(K$1:P$1&amp;"": ""&amp;K90:P90, NOT(ISBLANK(K90:P90))))))"),"")</f>
        <v/>
      </c>
      <c r="R90" s="49" t="s">
        <v>473</v>
      </c>
      <c r="S90" s="51" t="b">
        <v>1</v>
      </c>
    </row>
    <row r="91">
      <c r="A91" s="12" t="str">
        <f>IFERROR(__xludf.DUMMYFUNCTION("""COMPUTED_VALUE"""),"6037752256855089155a0945330e4841")</f>
        <v>6037752256855089155a0945330e4841</v>
      </c>
      <c r="B91" s="12" t="str">
        <f>IFERROR(__xludf.DUMMYFUNCTION("""COMPUTED_VALUE"""),"The Brazilian National AIDS Program is widely recognized as the leading example of an integrated HIV/AIDS prevention, care, and treatment program in a developing country. We critically analyze the Brazilian experience, distinguishing those elements that a"&amp;"re unique to Brazil from the programmatic and policy decisions that can aid the development of similar programs in other low- and middle-income and developing countries.Among the critical issues that are discussed are human rights and solidarity, the inte"&amp;"rface of politics and public health, sexuality and culture, the integration of prevention and treatment, the transition from an epidemic rooted among men who have sex with men to one that increasingly affects women, and special prevention and treatment pr"&amp;"ograms for injection drug users.")</f>
        <v>The Brazilian National AIDS Program is widely recognized as the leading example of an integrated HIV/AIDS prevention, care, and treatment program in a developing country. We critically analyze the Brazilian experience, distinguishing those elements that are unique to Brazil from the programmatic and policy decisions that can aid the development of similar programs in other low- and middle-income and developing countries.Among the critical issues that are discussed are human rights and solidarity, the interface of politics and public health, sexuality and culture, the integration of prevention and treatment, the transition from an epidemic rooted among men who have sex with men to one that increasingly affects women, and special prevention and treatment programs for injection drug users.</v>
      </c>
      <c r="C91" s="53"/>
      <c r="D91" s="48" t="b">
        <f t="shared" ref="D91:I91" si="268">VLOOKUP($A91, INDIRECT(D$1&amp;"!A:C"), 3, FALSE)</f>
        <v>0</v>
      </c>
      <c r="E91" s="48" t="str">
        <f t="shared" si="268"/>
        <v>TO DO</v>
      </c>
      <c r="F91" s="48" t="b">
        <f t="shared" si="268"/>
        <v>0</v>
      </c>
      <c r="G91" s="48" t="str">
        <f t="shared" si="268"/>
        <v>TO DO</v>
      </c>
      <c r="H91" s="48" t="b">
        <f t="shared" si="268"/>
        <v>0</v>
      </c>
      <c r="I91" s="48" t="b">
        <f t="shared" si="268"/>
        <v>0</v>
      </c>
      <c r="J91" s="49">
        <f t="shared" si="4"/>
        <v>1</v>
      </c>
      <c r="K91" s="50" t="str">
        <f t="shared" ref="K91:L91" si="269">VLOOKUP($A91, INDIRECT(K$1&amp;"!A:D"), 4, FALSE)</f>
        <v/>
      </c>
      <c r="L91" s="50" t="str">
        <f t="shared" si="269"/>
        <v/>
      </c>
      <c r="M91" s="50"/>
      <c r="N91" s="50" t="str">
        <f t="shared" ref="N91:P91" si="270">VLOOKUP($A91, INDIRECT(N$1&amp;"!A:D"), 4, FALSE)</f>
        <v/>
      </c>
      <c r="O91" s="50" t="str">
        <f t="shared" si="270"/>
        <v/>
      </c>
      <c r="P91" s="50" t="str">
        <f t="shared" si="270"/>
        <v>human rights and solidarity enough to mark as 16? Critical issues discussed has no value, call to action etc.</v>
      </c>
      <c r="Q91" s="49" t="str">
        <f>IFERROR(__xludf.DUMMYFUNCTION("IF(COUNTA(K91:P91)=0, """", ARRAYFORMULA(""- ""&amp;TEXTJOIN(char(10)&amp;""- "", TRUE, FILTER(K$1:P$1&amp;"": ""&amp;K91:P91, NOT(ISBLANK(K91:P91))))))"),"- Steve: human rights and solidarity enough to mark as 16? Critical issues discussed has no value, call to action etc.")</f>
        <v>- Steve: human rights and solidarity enough to mark as 16? Critical issues discussed has no value, call to action etc.</v>
      </c>
      <c r="R91" s="49" t="s">
        <v>514</v>
      </c>
      <c r="S91" s="51" t="b">
        <v>0</v>
      </c>
    </row>
    <row r="92">
      <c r="A92" s="12" t="str">
        <f>IFERROR(__xludf.DUMMYFUNCTION("""COMPUTED_VALUE"""),"8482e6a680b1fc5cdcc37da236ecfd86")</f>
        <v>8482e6a680b1fc5cdcc37da236ecfd86</v>
      </c>
      <c r="B92" s="12" t="str">
        <f>IFERROR(__xludf.DUMMYFUNCTION("""COMPUTED_VALUE"""),"ABSTRACT Since intellectual property rights (IPRs) and services were introduced to the international trade regime, state regulation on development sensitive issues such as access to education and medicines is directly affected by multilateral and bilatera"&amp;"l trade agreements. By adopting a global governance analytical approach to trade politics and a comparative research strategy, the article shows, on the one hand, how national positions on trade in education and IPR have been defined, coordinated and cont"&amp;"ested in developing contexts and, on the other, the implications of these trade policies on a range of scales. Case studies in Argentina, Peru, Chile and Ecuador will enable us to discuss, on the grounds of extensive primary empirical data, how the appare"&amp;"nt conflict between development and liberalization principles is being managed in free trade agreements in Southern countries, and with what outcomes.")</f>
        <v>ABSTRACT Since intellectual property rights (IPRs) and services were introduced to the international trade regime, state regulation on development sensitive issues such as access to education and medicines is directly affected by multilateral and bilateral trade agreements. By adopting a global governance analytical approach to trade politics and a comparative research strategy, the article shows, on the one hand, how national positions on trade in education and IPR have been defined, coordinated and contested in developing contexts and, on the other, the implications of these trade policies on a range of scales. Case studies in Argentina, Peru, Chile and Ecuador will enable us to discuss, on the grounds of extensive primary empirical data, how the apparent conflict between development and liberalization principles is being managed in free trade agreements in Southern countries, and with what outcomes.</v>
      </c>
      <c r="C92" s="7" t="s">
        <v>474</v>
      </c>
      <c r="D92" s="48" t="b">
        <f t="shared" ref="D92:I92" si="271">VLOOKUP($A92, INDIRECT(D$1&amp;"!A:C"), 3, FALSE)</f>
        <v>1</v>
      </c>
      <c r="E92" s="48" t="str">
        <f t="shared" si="271"/>
        <v>TO DO</v>
      </c>
      <c r="F92" s="48" t="str">
        <f t="shared" si="271"/>
        <v>SKIP</v>
      </c>
      <c r="G92" s="48" t="str">
        <f t="shared" si="271"/>
        <v>TO DO</v>
      </c>
      <c r="H92" s="48" t="b">
        <f t="shared" si="271"/>
        <v>1</v>
      </c>
      <c r="I92" s="48" t="b">
        <f t="shared" si="271"/>
        <v>0</v>
      </c>
      <c r="J92" s="49">
        <f t="shared" si="4"/>
        <v>0.25</v>
      </c>
      <c r="K92" s="50" t="str">
        <f t="shared" ref="K92:L92" si="272">VLOOKUP($A92, INDIRECT(K$1&amp;"!A:D"), 4, FALSE)</f>
        <v/>
      </c>
      <c r="L92" s="50" t="str">
        <f t="shared" si="272"/>
        <v/>
      </c>
      <c r="M92" s="50"/>
      <c r="N92" s="50" t="str">
        <f t="shared" ref="N92:P92" si="273">VLOOKUP($A92, INDIRECT(N$1&amp;"!A:D"), 4, FALSE)</f>
        <v/>
      </c>
      <c r="O92" s="50" t="str">
        <f t="shared" si="273"/>
        <v/>
      </c>
      <c r="P92" s="50" t="str">
        <f t="shared" si="273"/>
        <v/>
      </c>
      <c r="Q92" s="49" t="str">
        <f>IFERROR(__xludf.DUMMYFUNCTION("IF(COUNTA(K92:P92)=0, """", ARRAYFORMULA(""- ""&amp;TEXTJOIN(char(10)&amp;""- "", TRUE, FILTER(K$1:P$1&amp;"": ""&amp;K92:P92, NOT(ISBLANK(K92:P92))))))"),"")</f>
        <v/>
      </c>
      <c r="R92" s="49" t="s">
        <v>473</v>
      </c>
      <c r="S92" s="51" t="s">
        <v>476</v>
      </c>
    </row>
    <row r="93">
      <c r="A93" s="12" t="str">
        <f>IFERROR(__xludf.DUMMYFUNCTION("""COMPUTED_VALUE"""),"fe4b55f8505c4d4dc6f3e64707fa4516")</f>
        <v>fe4b55f8505c4d4dc6f3e64707fa4516</v>
      </c>
      <c r="B93" s="12" t="str">
        <f>IFERROR(__xludf.DUMMYFUNCTION("""COMPUTED_VALUE"""),"The chapter traces the development of the international response to the pandemic of HIV/AIDS from the designation of the World Health Organization (WHO) as “lead agency” in the late 1980s to the emergence of a variety of public-private partnerships from t"&amp;"he 1990s onwards. This trajectory is related to general trends in global public health governance. Existing partnerships in the field of HIV/AIDS are described and typified. Finally, the legitimacy and democratic qualities of today’s global governance arr"&amp;"angements in the fight against AIDS are discussed in terms of coordination, representation and accountability.")</f>
        <v>The chapter traces the development of the international response to the pandemic of HIV/AIDS from the designation of the World Health Organization (WHO) as “lead agency” in the late 1980s to the emergence of a variety of public-private partnerships from the 1990s onwards. This trajectory is related to general trends in global public health governance. Existing partnerships in the field of HIV/AIDS are described and typified. Finally, the legitimacy and democratic qualities of today’s global governance arrangements in the fight against AIDS are discussed in terms of coordination, representation and accountability.</v>
      </c>
      <c r="C93" s="7" t="s">
        <v>483</v>
      </c>
      <c r="D93" s="48" t="b">
        <f t="shared" ref="D93:I93" si="274">VLOOKUP($A93, INDIRECT(D$1&amp;"!A:C"), 3, FALSE)</f>
        <v>1</v>
      </c>
      <c r="E93" s="48" t="str">
        <f t="shared" si="274"/>
        <v>TO DO</v>
      </c>
      <c r="F93" s="48" t="b">
        <f t="shared" si="274"/>
        <v>0</v>
      </c>
      <c r="G93" s="48" t="str">
        <f t="shared" si="274"/>
        <v>TO DO</v>
      </c>
      <c r="H93" s="48" t="b">
        <f t="shared" si="274"/>
        <v>0</v>
      </c>
      <c r="I93" s="48" t="b">
        <f t="shared" si="274"/>
        <v>0</v>
      </c>
      <c r="J93" s="49">
        <f t="shared" si="4"/>
        <v>0.5</v>
      </c>
      <c r="K93" s="50" t="str">
        <f t="shared" ref="K93:L93" si="275">VLOOKUP($A93, INDIRECT(K$1&amp;"!A:D"), 4, FALSE)</f>
        <v>global governance</v>
      </c>
      <c r="L93" s="50" t="str">
        <f t="shared" si="275"/>
        <v/>
      </c>
      <c r="M93" s="50"/>
      <c r="N93" s="50" t="str">
        <f t="shared" ref="N93:P93" si="276">VLOOKUP($A93, INDIRECT(N$1&amp;"!A:D"), 4, FALSE)</f>
        <v/>
      </c>
      <c r="O93" s="50" t="str">
        <f t="shared" si="276"/>
        <v/>
      </c>
      <c r="P93" s="50" t="str">
        <f t="shared" si="276"/>
        <v/>
      </c>
      <c r="Q93" s="49" t="str">
        <f>IFERROR(__xludf.DUMMYFUNCTION("IF(COUNTA(K93:P93)=0, """", ARRAYFORMULA(""- ""&amp;TEXTJOIN(char(10)&amp;""- "", TRUE, FILTER(K$1:P$1&amp;"": ""&amp;K93:P93, NOT(ISBLANK(K93:P93))))))"),"- Finn: global governance")</f>
        <v>- Finn: global governance</v>
      </c>
      <c r="R93" s="49" t="s">
        <v>502</v>
      </c>
      <c r="S93" s="51" t="s">
        <v>476</v>
      </c>
    </row>
    <row r="94">
      <c r="A94" s="12" t="str">
        <f>IFERROR(__xludf.DUMMYFUNCTION("""COMPUTED_VALUE"""),"c6ac49fd2d250a4593c5f948aff3bff0")</f>
        <v>c6ac49fd2d250a4593c5f948aff3bff0</v>
      </c>
      <c r="B94" s="12" t="str">
        <f>IFERROR(__xludf.DUMMYFUNCTION("""COMPUTED_VALUE"""),"Birth registration is becoming an important arena of political mobilisation for human rights. Discourses about civil registration advanced in the civil society and academic circles tend to frame birth registration in citizenship terms, arguing that (a)Â a"&amp;" birth certificate is indispensable in realising the childâ€™s right to a name, nationality and citizenship, and (b)Â both the delay in registering and failure to register a childâ€™s birth compound the social exclusion of that child. However, narratives "&amp;"that connect birth registration and social exclusion in a causal relationship are seldom premised on empirical evidence. Drawing on qualitative key informant interviews, this article examines how non-birth registration relates to social exclusion of child"&amp;"ren. Participantsâ€™ narratives generated in Zimbabweâ€™s Bindura District revealed that non-birth registration is entangled with multiple dimensions of social exclusion, potentially giving rise to marginalisation of children in various spheres of society"&amp;".")</f>
        <v>Birth registration is becoming an important arena of political mobilisation for human rights. Discourses about civil registration advanced in the civil society and academic circles tend to frame birth registration in citizenship terms, arguing that (a)Â a birth certificate is indispensable in realising the childâ€™s right to a name, nationality and citizenship, and (b)Â both the delay in registering and failure to register a childâ€™s birth compound the social exclusion of that child. However, narratives that connect birth registration and social exclusion in a causal relationship are seldom premised on empirical evidence. Drawing on qualitative key informant interviews, this article examines how non-birth registration relates to social exclusion of children. Participantsâ€™ narratives generated in Zimbabweâ€™s Bindura District revealed that non-birth registration is entangled with multiple dimensions of social exclusion, potentially giving rise to marginalisation of children in various spheres of society.</v>
      </c>
      <c r="C94" s="48"/>
      <c r="D94" s="48" t="b">
        <f t="shared" ref="D94:I94" si="277">VLOOKUP($A94, INDIRECT(D$1&amp;"!A:C"), 3, FALSE)</f>
        <v>1</v>
      </c>
      <c r="E94" s="48" t="str">
        <f t="shared" si="277"/>
        <v>TO DO</v>
      </c>
      <c r="F94" s="48" t="b">
        <f t="shared" si="277"/>
        <v>1</v>
      </c>
      <c r="G94" s="48" t="str">
        <f t="shared" si="277"/>
        <v>TO DO</v>
      </c>
      <c r="H94" s="48" t="b">
        <f t="shared" si="277"/>
        <v>1</v>
      </c>
      <c r="I94" s="48" t="b">
        <f t="shared" si="277"/>
        <v>1</v>
      </c>
      <c r="J94" s="49">
        <f t="shared" si="4"/>
        <v>1</v>
      </c>
      <c r="K94" s="50" t="str">
        <f t="shared" ref="K94:L94" si="278">VLOOKUP($A94, INDIRECT(K$1&amp;"!A:D"), 4, FALSE)</f>
        <v/>
      </c>
      <c r="L94" s="50" t="str">
        <f t="shared" si="278"/>
        <v/>
      </c>
      <c r="M94" s="50"/>
      <c r="N94" s="50" t="str">
        <f t="shared" ref="N94:P94" si="279">VLOOKUP($A94, INDIRECT(N$1&amp;"!A:D"), 4, FALSE)</f>
        <v/>
      </c>
      <c r="O94" s="50" t="str">
        <f t="shared" si="279"/>
        <v/>
      </c>
      <c r="P94" s="50" t="str">
        <f t="shared" si="279"/>
        <v/>
      </c>
      <c r="Q94" s="49" t="str">
        <f>IFERROR(__xludf.DUMMYFUNCTION("IF(COUNTA(K94:P94)=0, """", ARRAYFORMULA(""- ""&amp;TEXTJOIN(char(10)&amp;""- "", TRUE, FILTER(K$1:P$1&amp;"": ""&amp;K94:P94, NOT(ISBLANK(K94:P94))))))"),"")</f>
        <v/>
      </c>
      <c r="R94" s="49" t="s">
        <v>473</v>
      </c>
      <c r="S94" s="51" t="b">
        <v>1</v>
      </c>
    </row>
    <row r="95">
      <c r="A95" s="12" t="str">
        <f>IFERROR(__xludf.DUMMYFUNCTION("""COMPUTED_VALUE"""),"fb989ed33aecb1e0600b26ad929a4b06")</f>
        <v>fb989ed33aecb1e0600b26ad929a4b06</v>
      </c>
      <c r="B95" s="12" t="str">
        <f>IFERROR(__xludf.DUMMYFUNCTION("""COMPUTED_VALUE"""),"The process of migration, whether forced or voluntary, often entails negotiating new social norms and traditions. It may mean that a person will have to learn another language and reconsider familiar perspectives on gender roles, parenting approaches, and"&amp;" many other social practices. These adjustments can be profoundly stressful and have implications for one's sense of physical, mental, cultural, spiritual, and social well-being. Migrants traveling as a family will likely experience the stress of migratio"&amp;"n and acculturation in different ways from individual migrants.      Keywords:    cultural diversity,  diaspora,  migration,  multiculturalism,  refugees")</f>
        <v>The process of migration, whether forced or voluntary, often entails negotiating new social norms and traditions. It may mean that a person will have to learn another language and reconsider familiar perspectives on gender roles, parenting approaches, and many other social practices. These adjustments can be profoundly stressful and have implications for one's sense of physical, mental, cultural, spiritual, and social well-being. Migrants traveling as a family will likely experience the stress of migration and acculturation in different ways from individual migrants.      Keywords:    cultural diversity,  diaspora,  migration,  multiculturalism,  refugees</v>
      </c>
      <c r="C95" s="7"/>
      <c r="D95" s="48" t="b">
        <f t="shared" ref="D95:I95" si="280">VLOOKUP($A95, INDIRECT(D$1&amp;"!A:C"), 3, FALSE)</f>
        <v>0</v>
      </c>
      <c r="E95" s="48" t="str">
        <f t="shared" si="280"/>
        <v>TO DO</v>
      </c>
      <c r="F95" s="48" t="b">
        <f t="shared" si="280"/>
        <v>0</v>
      </c>
      <c r="G95" s="48" t="str">
        <f t="shared" si="280"/>
        <v>TO DO</v>
      </c>
      <c r="H95" s="48" t="b">
        <f t="shared" si="280"/>
        <v>0</v>
      </c>
      <c r="I95" s="48" t="b">
        <f t="shared" si="280"/>
        <v>0</v>
      </c>
      <c r="J95" s="49">
        <f t="shared" si="4"/>
        <v>1</v>
      </c>
      <c r="K95" s="50" t="str">
        <f t="shared" ref="K95:L95" si="281">VLOOKUP($A95, INDIRECT(K$1&amp;"!A:D"), 4, FALSE)</f>
        <v/>
      </c>
      <c r="L95" s="50" t="str">
        <f t="shared" si="281"/>
        <v/>
      </c>
      <c r="M95" s="50"/>
      <c r="N95" s="50" t="str">
        <f t="shared" ref="N95:P95" si="282">VLOOKUP($A95, INDIRECT(N$1&amp;"!A:D"), 4, FALSE)</f>
        <v/>
      </c>
      <c r="O95" s="50" t="str">
        <f t="shared" si="282"/>
        <v/>
      </c>
      <c r="P95" s="50" t="str">
        <f t="shared" si="282"/>
        <v/>
      </c>
      <c r="Q95" s="49" t="str">
        <f>IFERROR(__xludf.DUMMYFUNCTION("IF(COUNTA(K95:P95)=0, """", ARRAYFORMULA(""- ""&amp;TEXTJOIN(char(10)&amp;""- "", TRUE, FILTER(K$1:P$1&amp;"": ""&amp;K95:P95, NOT(ISBLANK(K95:P95))))))"),"")</f>
        <v/>
      </c>
      <c r="R95" s="49" t="s">
        <v>473</v>
      </c>
      <c r="S95" s="51" t="b">
        <v>0</v>
      </c>
    </row>
    <row r="96">
      <c r="A96" s="12" t="str">
        <f>IFERROR(__xludf.DUMMYFUNCTION("""COMPUTED_VALUE"""),"427ccdb909f71cc0eefcadba520463c9")</f>
        <v>427ccdb909f71cc0eefcadba520463c9</v>
      </c>
      <c r="B96" s="12" t="str">
        <f>IFERROR(__xludf.DUMMYFUNCTION("""COMPUTED_VALUE"""),"We are currently witnessing a rapid rise in biometric security. Borders are apparently becoming ‘smart’, passports are becoming e-passports, and when you set out on your travels your data double is already at your destination. Access to airports and even "&amp;"continents will increasingly be determined not by your national citizenship but by the security of your identity. Biometric security has received little anthropological attention despite historical associations with the discipline. Here I wish to outline "&amp;"a brief genealogy of biometric security in order to argue that, beyond the apparent newness of the technology, key biometric technologies owe their origins to 19th-entury deployments and then as now they may be understood as a form of bio-governmentality "&amp;"in which the security of identity opens possibilities for population control.")</f>
        <v>We are currently witnessing a rapid rise in biometric security. Borders are apparently becoming ‘smart’, passports are becoming e-passports, and when you set out on your travels your data double is already at your destination. Access to airports and even continents will increasingly be determined not by your national citizenship but by the security of your identity. Biometric security has received little anthropological attention despite historical associations with the discipline. Here I wish to outline a brief genealogy of biometric security in order to argue that, beyond the apparent newness of the technology, key biometric technologies owe their origins to 19th-entury deployments and then as now they may be understood as a form of bio-governmentality in which the security of identity opens possibilities for population control.</v>
      </c>
      <c r="C96" s="7" t="s">
        <v>474</v>
      </c>
      <c r="D96" s="48" t="b">
        <f t="shared" ref="D96:I96" si="283">VLOOKUP($A96, INDIRECT(D$1&amp;"!A:C"), 3, FALSE)</f>
        <v>1</v>
      </c>
      <c r="E96" s="48" t="str">
        <f t="shared" si="283"/>
        <v>TO DO</v>
      </c>
      <c r="F96" s="48" t="b">
        <f t="shared" si="283"/>
        <v>1</v>
      </c>
      <c r="G96" s="48" t="str">
        <f t="shared" si="283"/>
        <v>TO DO</v>
      </c>
      <c r="H96" s="48" t="b">
        <f t="shared" si="283"/>
        <v>1</v>
      </c>
      <c r="I96" s="48" t="b">
        <f t="shared" si="283"/>
        <v>0</v>
      </c>
      <c r="J96" s="49">
        <f t="shared" si="4"/>
        <v>0.5</v>
      </c>
      <c r="K96" s="50" t="str">
        <f t="shared" ref="K96:L96" si="284">VLOOKUP($A96, INDIRECT(K$1&amp;"!A:D"), 4, FALSE)</f>
        <v>identity</v>
      </c>
      <c r="L96" s="50" t="str">
        <f t="shared" si="284"/>
        <v/>
      </c>
      <c r="M96" s="50"/>
      <c r="N96" s="50" t="str">
        <f t="shared" ref="N96:P96" si="285">VLOOKUP($A96, INDIRECT(N$1&amp;"!A:D"), 4, FALSE)</f>
        <v/>
      </c>
      <c r="O96" s="50" t="str">
        <f t="shared" si="285"/>
        <v/>
      </c>
      <c r="P96" s="50" t="str">
        <f t="shared" si="285"/>
        <v/>
      </c>
      <c r="Q96" s="49" t="str">
        <f>IFERROR(__xludf.DUMMYFUNCTION("IF(COUNTA(K96:P96)=0, """", ARRAYFORMULA(""- ""&amp;TEXTJOIN(char(10)&amp;""- "", TRUE, FILTER(K$1:P$1&amp;"": ""&amp;K96:P96, NOT(ISBLANK(K96:P96))))))"),"- Finn: identity")</f>
        <v>- Finn: identity</v>
      </c>
      <c r="R96" s="49" t="s">
        <v>515</v>
      </c>
      <c r="S96" s="51" t="s">
        <v>476</v>
      </c>
    </row>
    <row r="97">
      <c r="A97" s="12" t="str">
        <f>IFERROR(__xludf.DUMMYFUNCTION("""COMPUTED_VALUE"""),"9a31ff362bdb1fe8372c51018fcc1d74")</f>
        <v>9a31ff362bdb1fe8372c51018fcc1d74</v>
      </c>
      <c r="B97" s="12" t="str">
        <f>IFERROR(__xludf.DUMMYFUNCTION("""COMPUTED_VALUE"""),"AbstractThis article examines opinions concerning fūfubessei (a married couple retaining their birth surnames) posted on an online forum. Recently, the topic of fūfubessei has once again come under a spotlight, since the Japanese Supreme Court upheld the "&amp;"constitutionality of the Civil Code Article 750, which stipulates that a married couple must choose either the husband's or wife's surname upon marriage registration. Owing to the large number of women forfeiting their surnames, the fūfubessei issue has o"&amp;"ften been researched from feminist perspectives, which may have hindered the voices of others. This article analyzes, using text mining (quantitative analysis) and discourse analysis (qualitative analysis), a large number of opinions from people of variou"&amp;"s cultural backgrounds. The results of this study reveal a diversity of beliefs and attitudes towards Article 750, reflecting the complexity of the issue. In general, proponents of reform claim the law violates equality, rights and liberty. From opponents"&amp;"...")</f>
        <v>AbstractThis article examines opinions concerning fūfubessei (a married couple retaining their birth surnames) posted on an online forum. Recently, the topic of fūfubessei has once again come under a spotlight, since the Japanese Supreme Court upheld the constitutionality of the Civil Code Article 750, which stipulates that a married couple must choose either the husband's or wife's surname upon marriage registration. Owing to the large number of women forfeiting their surnames, the fūfubessei issue has often been researched from feminist perspectives, which may have hindered the voices of others. This article analyzes, using text mining (quantitative analysis) and discourse analysis (qualitative analysis), a large number of opinions from people of various cultural backgrounds. The results of this study reveal a diversity of beliefs and attitudes towards Article 750, reflecting the complexity of the issue. In general, proponents of reform claim the law violates equality, rights and liberty. From opponents...</v>
      </c>
      <c r="C97" s="7" t="s">
        <v>474</v>
      </c>
      <c r="D97" s="48" t="b">
        <f t="shared" ref="D97:I97" si="286">VLOOKUP($A97, INDIRECT(D$1&amp;"!A:C"), 3, FALSE)</f>
        <v>0</v>
      </c>
      <c r="E97" s="48" t="str">
        <f t="shared" si="286"/>
        <v>TO DO</v>
      </c>
      <c r="F97" s="48" t="b">
        <f t="shared" si="286"/>
        <v>0</v>
      </c>
      <c r="G97" s="48" t="str">
        <f t="shared" si="286"/>
        <v>TO DO</v>
      </c>
      <c r="H97" s="48" t="b">
        <f t="shared" si="286"/>
        <v>0</v>
      </c>
      <c r="I97" s="48" t="b">
        <f t="shared" si="286"/>
        <v>1</v>
      </c>
      <c r="J97" s="49">
        <f t="shared" si="4"/>
        <v>0.5</v>
      </c>
      <c r="K97" s="50" t="str">
        <f t="shared" ref="K97:L97" si="287">VLOOKUP($A97, INDIRECT(K$1&amp;"!A:D"), 4, FALSE)</f>
        <v/>
      </c>
      <c r="L97" s="50" t="str">
        <f t="shared" si="287"/>
        <v/>
      </c>
      <c r="M97" s="50"/>
      <c r="N97" s="50" t="str">
        <f t="shared" ref="N97:P97" si="288">VLOOKUP($A97, INDIRECT(N$1&amp;"!A:D"), 4, FALSE)</f>
        <v/>
      </c>
      <c r="O97" s="50" t="str">
        <f t="shared" si="288"/>
        <v/>
      </c>
      <c r="P97" s="50" t="str">
        <f t="shared" si="288"/>
        <v>inclusive policy making?</v>
      </c>
      <c r="Q97" s="49" t="str">
        <f>IFERROR(__xludf.DUMMYFUNCTION("IF(COUNTA(K97:P97)=0, """", ARRAYFORMULA(""- ""&amp;TEXTJOIN(char(10)&amp;""- "", TRUE, FILTER(K$1:P$1&amp;"": ""&amp;K97:P97, NOT(ISBLANK(K97:P97))))))"),"- Steve: inclusive policy making?")</f>
        <v>- Steve: inclusive policy making?</v>
      </c>
      <c r="R97" s="49" t="s">
        <v>516</v>
      </c>
      <c r="S97" s="51" t="s">
        <v>476</v>
      </c>
    </row>
    <row r="98">
      <c r="A98" s="12" t="str">
        <f>IFERROR(__xludf.DUMMYFUNCTION("""COMPUTED_VALUE"""),"4f85002bd860cfef078e83dcb0e1a614")</f>
        <v>4f85002bd860cfef078e83dcb0e1a614</v>
      </c>
      <c r="B98" s="12" t="str">
        <f>IFERROR(__xludf.DUMMYFUNCTION("""COMPUTED_VALUE"""),"In October 2015 Uruguay was elected as a Non-Permanent Member of the United Nations Security Council. This article analyses the messages of the Uruguayan government during the process of its investiture. The objective is to offer an analytical description"&amp;" of the discourses made by Uruguayan government officials before the designation. For this purpose, a new analytical tool is applied, which consists of the operationalization of the General Principles of International Law. It is found that the Uruguayan d"&amp;"iscourse privileges the international cooperation that focuses on human rights, multilateralism, and the involvement in Peacekeeping Operation. Additionally, it is found that the membership is a tool used by the government to seek agreements with the poli"&amp;"tical opposition.")</f>
        <v>In October 2015 Uruguay was elected as a Non-Permanent Member of the United Nations Security Council. This article analyses the messages of the Uruguayan government during the process of its investiture. The objective is to offer an analytical description of the discourses made by Uruguayan government officials before the designation. For this purpose, a new analytical tool is applied, which consists of the operationalization of the General Principles of International Law. It is found that the Uruguayan discourse privileges the international cooperation that focuses on human rights, multilateralism, and the involvement in Peacekeeping Operation. Additionally, it is found that the membership is a tool used by the government to seek agreements with the political opposition.</v>
      </c>
      <c r="C98" s="53"/>
      <c r="D98" s="48" t="b">
        <f t="shared" ref="D98:I98" si="289">VLOOKUP($A98, INDIRECT(D$1&amp;"!A:C"), 3, FALSE)</f>
        <v>1</v>
      </c>
      <c r="E98" s="48" t="str">
        <f t="shared" si="289"/>
        <v>TO DO</v>
      </c>
      <c r="F98" s="48" t="b">
        <f t="shared" si="289"/>
        <v>1</v>
      </c>
      <c r="G98" s="48" t="str">
        <f t="shared" si="289"/>
        <v>TO DO</v>
      </c>
      <c r="H98" s="48" t="b">
        <f t="shared" si="289"/>
        <v>1</v>
      </c>
      <c r="I98" s="48" t="b">
        <f t="shared" si="289"/>
        <v>1</v>
      </c>
      <c r="J98" s="49">
        <f t="shared" si="4"/>
        <v>1</v>
      </c>
      <c r="K98" s="50" t="str">
        <f t="shared" ref="K98:L98" si="290">VLOOKUP($A98, INDIRECT(K$1&amp;"!A:D"), 4, FALSE)</f>
        <v/>
      </c>
      <c r="L98" s="50" t="str">
        <f t="shared" si="290"/>
        <v/>
      </c>
      <c r="M98" s="50"/>
      <c r="N98" s="50" t="str">
        <f t="shared" ref="N98:P98" si="291">VLOOKUP($A98, INDIRECT(N$1&amp;"!A:D"), 4, FALSE)</f>
        <v/>
      </c>
      <c r="O98" s="50" t="str">
        <f t="shared" si="291"/>
        <v/>
      </c>
      <c r="P98" s="50" t="str">
        <f t="shared" si="291"/>
        <v/>
      </c>
      <c r="Q98" s="49" t="str">
        <f>IFERROR(__xludf.DUMMYFUNCTION("IF(COUNTA(K98:P98)=0, """", ARRAYFORMULA(""- ""&amp;TEXTJOIN(char(10)&amp;""- "", TRUE, FILTER(K$1:P$1&amp;"": ""&amp;K98:P98, NOT(ISBLANK(K98:P98))))))"),"")</f>
        <v/>
      </c>
      <c r="R98" s="49" t="s">
        <v>473</v>
      </c>
      <c r="S98" s="51" t="b">
        <v>1</v>
      </c>
    </row>
    <row r="99">
      <c r="A99" s="12" t="str">
        <f>IFERROR(__xludf.DUMMYFUNCTION("""COMPUTED_VALUE"""),"897513cfcf65ff6d9f51e3b8a5dfcdb7")</f>
        <v>897513cfcf65ff6d9f51e3b8a5dfcdb7</v>
      </c>
      <c r="B99" s="12" t="str">
        <f>IFERROR(__xludf.DUMMYFUNCTION("""COMPUTED_VALUE"""),"For multiculturalists who favour a relativist approach, globalization and the increasing interconnectedness of societies pose a threat to cultural diversity. In this paper we show, through an exploration of the work of Martha Nussbaum, that a viable unive"&amp;"rsalist feminism can accommodate a thin and so defensible version of multiculturalism. Nussbaum's treatment of culture in relation to women's education and the cultivation of capacities for world citizenship fosters inclusion of norms and traditions from "&amp;"different ways of life, while leaving room for a critical perspective on them. On these grounds, there is considerable scope for cooperation between comparative education and feminist philosophy's liberal theorists.")</f>
        <v>For multiculturalists who favour a relativist approach, globalization and the increasing interconnectedness of societies pose a threat to cultural diversity. In this paper we show, through an exploration of the work of Martha Nussbaum, that a viable universalist feminism can accommodate a thin and so defensible version of multiculturalism. Nussbaum's treatment of culture in relation to women's education and the cultivation of capacities for world citizenship fosters inclusion of norms and traditions from different ways of life, while leaving room for a critical perspective on them. On these grounds, there is considerable scope for cooperation between comparative education and feminist philosophy's liberal theorists.</v>
      </c>
      <c r="C99" s="52"/>
      <c r="D99" s="48" t="b">
        <f t="shared" ref="D99:I99" si="292">VLOOKUP($A99, INDIRECT(D$1&amp;"!A:C"), 3, FALSE)</f>
        <v>0</v>
      </c>
      <c r="E99" s="48" t="str">
        <f t="shared" si="292"/>
        <v>TO DO</v>
      </c>
      <c r="F99" s="48" t="b">
        <f t="shared" si="292"/>
        <v>0</v>
      </c>
      <c r="G99" s="48" t="str">
        <f t="shared" si="292"/>
        <v>TO DO</v>
      </c>
      <c r="H99" s="48" t="b">
        <f t="shared" si="292"/>
        <v>0</v>
      </c>
      <c r="I99" s="48" t="b">
        <f t="shared" si="292"/>
        <v>0</v>
      </c>
      <c r="J99" s="49">
        <f t="shared" si="4"/>
        <v>1</v>
      </c>
      <c r="K99" s="50" t="str">
        <f t="shared" ref="K99:L99" si="293">VLOOKUP($A99, INDIRECT(K$1&amp;"!A:D"), 4, FALSE)</f>
        <v/>
      </c>
      <c r="L99" s="50" t="str">
        <f t="shared" si="293"/>
        <v/>
      </c>
      <c r="M99" s="50"/>
      <c r="N99" s="50" t="str">
        <f t="shared" ref="N99:P99" si="294">VLOOKUP($A99, INDIRECT(N$1&amp;"!A:D"), 4, FALSE)</f>
        <v/>
      </c>
      <c r="O99" s="50" t="str">
        <f t="shared" si="294"/>
        <v/>
      </c>
      <c r="P99" s="50" t="str">
        <f t="shared" si="294"/>
        <v/>
      </c>
      <c r="Q99" s="49" t="str">
        <f>IFERROR(__xludf.DUMMYFUNCTION("IF(COUNTA(K99:P99)=0, """", ARRAYFORMULA(""- ""&amp;TEXTJOIN(char(10)&amp;""- "", TRUE, FILTER(K$1:P$1&amp;"": ""&amp;K99:P99, NOT(ISBLANK(K99:P99))))))"),"")</f>
        <v/>
      </c>
      <c r="R99" s="49" t="s">
        <v>473</v>
      </c>
      <c r="S99" s="51" t="b">
        <v>0</v>
      </c>
    </row>
    <row r="100">
      <c r="A100" s="12" t="str">
        <f>IFERROR(__xludf.DUMMYFUNCTION("""COMPUTED_VALUE"""),"b83fcb0ab6da78600dab0d02e897f85f")</f>
        <v>b83fcb0ab6da78600dab0d02e897f85f</v>
      </c>
      <c r="B100" s="12" t="str">
        <f>IFERROR(__xludf.DUMMYFUNCTION("""COMPUTED_VALUE"""),"The present article seeks to analyze the exchange Argentine-Brazilian trade in recent years And Chinese penetration in the region in order to Observe the future prospects of MERCOSUR And the necessary public policy options in Matter of international inser"&amp;"tion, It stops at the Sectoral analysis of bilateral trade and Of displacement of regional production by Asian suppliers finding a drop in The last years in the share of exports Argentina to Brazil and vice versa, while There is an increase in Chinese par"&amp;"ticipation In all sectors, except for the automotive. Faced with this, the questions arise: Is the greater liberalization And the flexibilization of MERCOSUR, The exit for the Argentine economy? Will it be possible By this way to recover markets in recoil"&amp;" Like the Brazilian? Or, on the contrary, the greater Regional regulation, as in the automotive case, Is the basis for sustaining a process of sustainable development?")</f>
        <v>The present article seeks to analyze the exchange Argentine-Brazilian trade in recent years And Chinese penetration in the region in order to Observe the future prospects of MERCOSUR And the necessary public policy options in Matter of international insertion, It stops at the Sectoral analysis of bilateral trade and Of displacement of regional production by Asian suppliers finding a drop in The last years in the share of exports Argentina to Brazil and vice versa, while There is an increase in Chinese participation In all sectors, except for the automotive. Faced with this, the questions arise: Is the greater liberalization And the flexibilization of MERCOSUR, The exit for the Argentine economy? Will it be possible By this way to recover markets in recoil Like the Brazilian? Or, on the contrary, the greater Regional regulation, as in the automotive case, Is the basis for sustaining a process of sustainable development?</v>
      </c>
      <c r="C100" s="7" t="s">
        <v>474</v>
      </c>
      <c r="D100" s="48" t="b">
        <f t="shared" ref="D100:I100" si="295">VLOOKUP($A100, INDIRECT(D$1&amp;"!A:C"), 3, FALSE)</f>
        <v>0</v>
      </c>
      <c r="E100" s="48" t="str">
        <f t="shared" si="295"/>
        <v>TO DO</v>
      </c>
      <c r="F100" s="48" t="b">
        <f t="shared" si="295"/>
        <v>0</v>
      </c>
      <c r="G100" s="48" t="str">
        <f t="shared" si="295"/>
        <v>TO DO</v>
      </c>
      <c r="H100" s="48" t="b">
        <f t="shared" si="295"/>
        <v>0</v>
      </c>
      <c r="I100" s="48" t="b">
        <f t="shared" si="295"/>
        <v>1</v>
      </c>
      <c r="J100" s="49">
        <f t="shared" si="4"/>
        <v>0.5</v>
      </c>
      <c r="K100" s="50" t="str">
        <f t="shared" ref="K100:L100" si="296">VLOOKUP($A100, INDIRECT(K$1&amp;"!A:D"), 4, FALSE)</f>
        <v/>
      </c>
      <c r="L100" s="50" t="str">
        <f t="shared" si="296"/>
        <v/>
      </c>
      <c r="M100" s="50"/>
      <c r="N100" s="50" t="str">
        <f t="shared" ref="N100:P100" si="297">VLOOKUP($A100, INDIRECT(N$1&amp;"!A:D"), 4, FALSE)</f>
        <v/>
      </c>
      <c r="O100" s="50" t="str">
        <f t="shared" si="297"/>
        <v/>
      </c>
      <c r="P100" s="50" t="str">
        <f t="shared" si="297"/>
        <v>though very weak link: 16.b Promote and enforce non-discriminatory laws and policies for sustainable development.</v>
      </c>
      <c r="Q100" s="49" t="str">
        <f>IFERROR(__xludf.DUMMYFUNCTION("IF(COUNTA(K100:P100)=0, """", ARRAYFORMULA(""- ""&amp;TEXTJOIN(char(10)&amp;""- "", TRUE, FILTER(K$1:P$1&amp;"": ""&amp;K100:P100, NOT(ISBLANK(K100:P100))))))"),"- Steve: though very weak link: 16.b Promote and enforce non-discriminatory laws and policies for sustainable development.")</f>
        <v>- Steve: though very weak link: 16.b Promote and enforce non-discriminatory laws and policies for sustainable development.</v>
      </c>
      <c r="R100" s="49" t="s">
        <v>517</v>
      </c>
      <c r="S100" s="51" t="s">
        <v>476</v>
      </c>
    </row>
    <row r="101">
      <c r="A101" s="12" t="str">
        <f>IFERROR(__xludf.DUMMYFUNCTION("""COMPUTED_VALUE"""),"380a31d395c465785f9e1f0d09060925")</f>
        <v>380a31d395c465785f9e1f0d09060925</v>
      </c>
      <c r="B101" s="12" t="str">
        <f>IFERROR(__xludf.DUMMYFUNCTION("""COMPUTED_VALUE"""),"Based on accounts gathered from nine museums and four professional/policy-making bodies, as well as policy analysis, this article maps out and assesses the effects of and ways of experiencing the new managerialist mode of governance within the publicly fu"&amp;"nded museums in England, focusing specifically on performance management in museums. It will be argued that the performance management regime has impacted local authority museums and national museums in distinct ways, creating different professional/organ"&amp;"isational cultures as a result. These impacts pertain specifically to the professional and organisational autonomy of museums, with significant differences between small local authority museums and large national museums. This has serious implications for"&amp;" the way different types of museum relate to new managerialism and their mode of functioning. Some of the negative and unintended impacts of the performance management regime have induced a reappraisal – initially championed by the art world – and a move "&amp;"...")</f>
        <v>Based on accounts gathered from nine museums and four professional/policy-making bodies, as well as policy analysis, this article maps out and assesses the effects of and ways of experiencing the new managerialist mode of governance within the publicly funded museums in England, focusing specifically on performance management in museums. It will be argued that the performance management regime has impacted local authority museums and national museums in distinct ways, creating different professional/organisational cultures as a result. These impacts pertain specifically to the professional and organisational autonomy of museums, with significant differences between small local authority museums and large national museums. This has serious implications for the way different types of museum relate to new managerialism and their mode of functioning. Some of the negative and unintended impacts of the performance management regime have induced a reappraisal – initially championed by the art world – and a move ...</v>
      </c>
      <c r="C101" s="53"/>
      <c r="D101" s="48" t="b">
        <f t="shared" ref="D101:I101" si="298">VLOOKUP($A101, INDIRECT(D$1&amp;"!A:C"), 3, FALSE)</f>
        <v>0</v>
      </c>
      <c r="E101" s="48" t="str">
        <f t="shared" si="298"/>
        <v>TO DO</v>
      </c>
      <c r="F101" s="48" t="b">
        <f t="shared" si="298"/>
        <v>0</v>
      </c>
      <c r="G101" s="48" t="str">
        <f t="shared" si="298"/>
        <v>TO DO</v>
      </c>
      <c r="H101" s="48" t="b">
        <f t="shared" si="298"/>
        <v>0</v>
      </c>
      <c r="I101" s="48" t="b">
        <f t="shared" si="298"/>
        <v>0</v>
      </c>
      <c r="J101" s="49">
        <f t="shared" si="4"/>
        <v>1</v>
      </c>
      <c r="K101" s="50" t="str">
        <f t="shared" ref="K101:L101" si="299">VLOOKUP($A101, INDIRECT(K$1&amp;"!A:D"), 4, FALSE)</f>
        <v/>
      </c>
      <c r="L101" s="50" t="str">
        <f t="shared" si="299"/>
        <v/>
      </c>
      <c r="M101" s="50"/>
      <c r="N101" s="50" t="str">
        <f t="shared" ref="N101:P101" si="300">VLOOKUP($A101, INDIRECT(N$1&amp;"!A:D"), 4, FALSE)</f>
        <v/>
      </c>
      <c r="O101" s="50" t="str">
        <f t="shared" si="300"/>
        <v/>
      </c>
      <c r="P101" s="50" t="str">
        <f t="shared" si="300"/>
        <v/>
      </c>
      <c r="Q101" s="49" t="str">
        <f>IFERROR(__xludf.DUMMYFUNCTION("IF(COUNTA(K101:P101)=0, """", ARRAYFORMULA(""- ""&amp;TEXTJOIN(char(10)&amp;""- "", TRUE, FILTER(K$1:P$1&amp;"": ""&amp;K101:P101, NOT(ISBLANK(K101:P101))))))"),"")</f>
        <v/>
      </c>
      <c r="R101" s="49" t="s">
        <v>473</v>
      </c>
      <c r="S101" s="51" t="b">
        <v>0</v>
      </c>
    </row>
  </sheetData>
  <autoFilter ref="$A$1:$U$101"/>
  <conditionalFormatting sqref="C2:R101">
    <cfRule type="cellIs" dxfId="0" priority="1" operator="equal">
      <formula>"TRUE"</formula>
    </cfRule>
  </conditionalFormatting>
  <conditionalFormatting sqref="C2:R101">
    <cfRule type="beginsWith" dxfId="1" priority="2" operator="beginsWith" text="FALSE">
      <formula>LEFT((C2),LEN("FALSE"))=("FALSE")</formula>
    </cfRule>
  </conditionalFormatting>
  <conditionalFormatting sqref="C2:R101">
    <cfRule type="cellIs" dxfId="2" priority="3" operator="equal">
      <formula>"TO DO"</formula>
    </cfRule>
  </conditionalFormatting>
  <conditionalFormatting sqref="C2:R101">
    <cfRule type="cellIs" dxfId="3" priority="4" operator="equal">
      <formula>"SKIP"</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5" max="5" width="15.0"/>
    <col customWidth="1" min="6" max="6" width="26.38"/>
  </cols>
  <sheetData>
    <row r="1">
      <c r="A1" s="23" t="s">
        <v>518</v>
      </c>
      <c r="B1" s="5" t="s">
        <v>340</v>
      </c>
      <c r="C1" s="23" t="s">
        <v>341</v>
      </c>
      <c r="D1" s="23" t="s">
        <v>346</v>
      </c>
      <c r="E1" s="55" t="s">
        <v>519</v>
      </c>
      <c r="F1" s="23" t="s">
        <v>338</v>
      </c>
      <c r="G1" s="23" t="s">
        <v>520</v>
      </c>
    </row>
    <row r="2">
      <c r="A2" s="24" t="str">
        <f t="shared" ref="A2:A69" si="1">IF(NOT(ISBLANK(B2)), LEFT(MD5(B2), 7), "")</f>
        <v>Loading...</v>
      </c>
      <c r="B2" s="56" t="s">
        <v>258</v>
      </c>
      <c r="C2" s="5">
        <v>16.0</v>
      </c>
      <c r="D2" s="56" t="b">
        <v>0</v>
      </c>
      <c r="E2" s="57" t="s">
        <v>257</v>
      </c>
      <c r="F2" s="24" t="s">
        <v>349</v>
      </c>
    </row>
    <row r="3">
      <c r="A3" s="24" t="str">
        <f t="shared" si="1"/>
        <v>Loading...</v>
      </c>
      <c r="B3" s="12" t="s">
        <v>272</v>
      </c>
      <c r="C3" s="5">
        <v>16.0</v>
      </c>
      <c r="D3" s="24" t="b">
        <v>0</v>
      </c>
      <c r="E3" s="12" t="s">
        <v>271</v>
      </c>
      <c r="F3" s="24" t="s">
        <v>353</v>
      </c>
    </row>
    <row r="4">
      <c r="A4" s="24" t="str">
        <f t="shared" si="1"/>
        <v>Loading...</v>
      </c>
      <c r="B4" s="58" t="s">
        <v>198</v>
      </c>
      <c r="C4" s="5">
        <v>16.0</v>
      </c>
      <c r="D4" s="24" t="b">
        <v>0</v>
      </c>
      <c r="E4" s="12" t="s">
        <v>197</v>
      </c>
      <c r="F4" s="24" t="s">
        <v>354</v>
      </c>
    </row>
    <row r="5">
      <c r="A5" s="24" t="str">
        <f t="shared" si="1"/>
        <v>Loading...</v>
      </c>
      <c r="B5" s="12" t="s">
        <v>223</v>
      </c>
      <c r="C5" s="5">
        <v>16.0</v>
      </c>
      <c r="D5" s="24" t="b">
        <v>1</v>
      </c>
      <c r="E5" s="12" t="s">
        <v>222</v>
      </c>
      <c r="F5" s="24" t="s">
        <v>355</v>
      </c>
    </row>
    <row r="6">
      <c r="A6" s="24" t="str">
        <f t="shared" si="1"/>
        <v>Loading...</v>
      </c>
      <c r="B6" s="12" t="s">
        <v>266</v>
      </c>
      <c r="C6" s="5">
        <v>16.0</v>
      </c>
      <c r="D6" s="24" t="b">
        <v>1</v>
      </c>
      <c r="E6" s="12" t="s">
        <v>265</v>
      </c>
      <c r="F6" s="24" t="s">
        <v>356</v>
      </c>
    </row>
    <row r="7">
      <c r="A7" s="24" t="str">
        <f t="shared" si="1"/>
        <v>Loading...</v>
      </c>
      <c r="B7" s="12" t="s">
        <v>184</v>
      </c>
      <c r="C7" s="5">
        <v>16.0</v>
      </c>
      <c r="D7" s="24" t="b">
        <v>0</v>
      </c>
      <c r="E7" s="12" t="s">
        <v>183</v>
      </c>
      <c r="F7" s="24" t="s">
        <v>359</v>
      </c>
    </row>
    <row r="8">
      <c r="A8" s="24" t="str">
        <f t="shared" si="1"/>
        <v>Loading...</v>
      </c>
      <c r="B8" s="12" t="s">
        <v>306</v>
      </c>
      <c r="C8" s="5">
        <v>16.0</v>
      </c>
      <c r="D8" s="24" t="b">
        <v>1</v>
      </c>
      <c r="E8" s="12" t="s">
        <v>305</v>
      </c>
      <c r="F8" s="24" t="s">
        <v>360</v>
      </c>
    </row>
    <row r="9">
      <c r="A9" s="24" t="str">
        <f t="shared" si="1"/>
        <v>Loading...</v>
      </c>
      <c r="B9" s="58" t="s">
        <v>274</v>
      </c>
      <c r="C9" s="5">
        <v>16.0</v>
      </c>
      <c r="D9" s="24" t="b">
        <v>0</v>
      </c>
      <c r="E9" s="12" t="s">
        <v>273</v>
      </c>
      <c r="F9" s="24" t="s">
        <v>361</v>
      </c>
    </row>
    <row r="10">
      <c r="A10" s="24" t="str">
        <f t="shared" si="1"/>
        <v>Loading...</v>
      </c>
      <c r="B10" s="12" t="s">
        <v>150</v>
      </c>
      <c r="C10" s="5">
        <v>16.0</v>
      </c>
      <c r="D10" s="24" t="b">
        <v>1</v>
      </c>
      <c r="E10" s="12" t="s">
        <v>149</v>
      </c>
      <c r="F10" s="24" t="s">
        <v>363</v>
      </c>
      <c r="G10" s="24" t="s">
        <v>481</v>
      </c>
    </row>
    <row r="11">
      <c r="A11" s="24" t="str">
        <f t="shared" si="1"/>
        <v>Loading...</v>
      </c>
      <c r="B11" s="12" t="s">
        <v>146</v>
      </c>
      <c r="C11" s="5">
        <v>16.0</v>
      </c>
      <c r="D11" s="24" t="b">
        <v>0</v>
      </c>
      <c r="E11" s="12" t="s">
        <v>145</v>
      </c>
      <c r="F11" s="24" t="s">
        <v>364</v>
      </c>
    </row>
    <row r="12">
      <c r="A12" s="24" t="str">
        <f t="shared" si="1"/>
        <v>Loading...</v>
      </c>
      <c r="B12" s="58" t="s">
        <v>521</v>
      </c>
      <c r="C12" s="5">
        <v>16.0</v>
      </c>
      <c r="D12" s="24" t="b">
        <v>1</v>
      </c>
      <c r="E12" s="12" t="s">
        <v>261</v>
      </c>
      <c r="F12" s="24" t="s">
        <v>366</v>
      </c>
      <c r="G12" s="5" t="s">
        <v>522</v>
      </c>
    </row>
    <row r="13">
      <c r="A13" s="24" t="str">
        <f t="shared" si="1"/>
        <v>Loading...</v>
      </c>
      <c r="B13" s="12" t="s">
        <v>170</v>
      </c>
      <c r="C13" s="5">
        <v>16.0</v>
      </c>
      <c r="D13" s="24" t="b">
        <v>1</v>
      </c>
      <c r="E13" s="12" t="s">
        <v>169</v>
      </c>
      <c r="F13" s="24" t="s">
        <v>368</v>
      </c>
    </row>
    <row r="14">
      <c r="A14" s="24" t="str">
        <f t="shared" si="1"/>
        <v>Loading...</v>
      </c>
      <c r="B14" s="12" t="s">
        <v>284</v>
      </c>
      <c r="C14" s="5">
        <v>16.0</v>
      </c>
      <c r="D14" s="24" t="b">
        <v>0</v>
      </c>
      <c r="E14" s="12" t="s">
        <v>283</v>
      </c>
      <c r="F14" s="24" t="s">
        <v>372</v>
      </c>
    </row>
    <row r="15">
      <c r="A15" s="24" t="str">
        <f t="shared" si="1"/>
        <v>Loading...</v>
      </c>
      <c r="B15" s="58" t="s">
        <v>523</v>
      </c>
      <c r="C15" s="5">
        <v>16.0</v>
      </c>
      <c r="D15" s="24" t="b">
        <v>0</v>
      </c>
      <c r="E15" s="12" t="s">
        <v>245</v>
      </c>
      <c r="F15" s="24" t="s">
        <v>374</v>
      </c>
      <c r="G15" s="5" t="s">
        <v>524</v>
      </c>
    </row>
    <row r="16">
      <c r="A16" s="24" t="str">
        <f t="shared" si="1"/>
        <v>Loading...</v>
      </c>
      <c r="B16" s="58" t="s">
        <v>525</v>
      </c>
      <c r="C16" s="5">
        <v>16.0</v>
      </c>
      <c r="D16" s="24" t="b">
        <v>1</v>
      </c>
      <c r="E16" s="12" t="s">
        <v>281</v>
      </c>
      <c r="F16" s="24" t="s">
        <v>375</v>
      </c>
      <c r="G16" s="5" t="s">
        <v>522</v>
      </c>
    </row>
    <row r="17">
      <c r="A17" s="24" t="str">
        <f t="shared" si="1"/>
        <v>Loading...</v>
      </c>
      <c r="B17" s="12" t="s">
        <v>260</v>
      </c>
      <c r="C17" s="5">
        <v>16.0</v>
      </c>
      <c r="D17" s="24" t="b">
        <v>0</v>
      </c>
      <c r="E17" s="12" t="s">
        <v>259</v>
      </c>
      <c r="F17" s="24" t="s">
        <v>378</v>
      </c>
    </row>
    <row r="18">
      <c r="A18" s="24" t="str">
        <f t="shared" si="1"/>
        <v>Loading...</v>
      </c>
      <c r="B18" s="12" t="s">
        <v>248</v>
      </c>
      <c r="C18" s="5">
        <v>16.0</v>
      </c>
      <c r="D18" s="24" t="b">
        <v>1</v>
      </c>
      <c r="E18" s="12" t="s">
        <v>247</v>
      </c>
      <c r="F18" s="24" t="s">
        <v>379</v>
      </c>
    </row>
    <row r="19">
      <c r="A19" s="24" t="str">
        <f t="shared" si="1"/>
        <v>Loading...</v>
      </c>
      <c r="B19" s="12" t="s">
        <v>270</v>
      </c>
      <c r="C19" s="5">
        <v>16.0</v>
      </c>
      <c r="D19" s="24" t="b">
        <v>0</v>
      </c>
      <c r="E19" s="12" t="s">
        <v>269</v>
      </c>
      <c r="F19" s="24" t="s">
        <v>380</v>
      </c>
    </row>
    <row r="20">
      <c r="A20" s="24" t="str">
        <f t="shared" si="1"/>
        <v>Loading...</v>
      </c>
      <c r="B20" s="58" t="s">
        <v>304</v>
      </c>
      <c r="C20" s="5">
        <v>16.0</v>
      </c>
      <c r="D20" s="24" t="b">
        <v>0</v>
      </c>
      <c r="E20" s="12" t="s">
        <v>303</v>
      </c>
      <c r="F20" s="24" t="s">
        <v>381</v>
      </c>
    </row>
    <row r="21">
      <c r="A21" s="24" t="str">
        <f t="shared" si="1"/>
        <v>Loading...</v>
      </c>
      <c r="B21" s="12" t="s">
        <v>121</v>
      </c>
      <c r="C21" s="5">
        <v>16.0</v>
      </c>
      <c r="D21" s="24" t="b">
        <v>0</v>
      </c>
      <c r="E21" s="12" t="s">
        <v>120</v>
      </c>
      <c r="F21" s="24" t="s">
        <v>383</v>
      </c>
      <c r="G21" s="24" t="s">
        <v>491</v>
      </c>
    </row>
    <row r="22">
      <c r="A22" s="24" t="str">
        <f t="shared" si="1"/>
        <v>Loading...</v>
      </c>
      <c r="B22" s="12" t="s">
        <v>136</v>
      </c>
      <c r="C22" s="5">
        <v>16.0</v>
      </c>
      <c r="D22" s="24" t="b">
        <v>0</v>
      </c>
      <c r="E22" s="12" t="s">
        <v>135</v>
      </c>
      <c r="F22" s="24" t="s">
        <v>386</v>
      </c>
    </row>
    <row r="23">
      <c r="A23" s="24" t="str">
        <f t="shared" si="1"/>
        <v>Loading...</v>
      </c>
      <c r="B23" s="58" t="s">
        <v>194</v>
      </c>
      <c r="C23" s="5">
        <v>16.0</v>
      </c>
      <c r="D23" s="24" t="b">
        <v>1</v>
      </c>
      <c r="E23" s="12" t="s">
        <v>193</v>
      </c>
      <c r="F23" s="24" t="s">
        <v>387</v>
      </c>
    </row>
    <row r="24">
      <c r="A24" s="24" t="str">
        <f t="shared" si="1"/>
        <v>Loading...</v>
      </c>
      <c r="B24" s="12" t="s">
        <v>132</v>
      </c>
      <c r="C24" s="5">
        <v>16.0</v>
      </c>
      <c r="D24" s="24" t="b">
        <v>0</v>
      </c>
      <c r="E24" s="12" t="s">
        <v>131</v>
      </c>
      <c r="F24" s="24" t="s">
        <v>388</v>
      </c>
    </row>
    <row r="25">
      <c r="A25" s="24" t="str">
        <f t="shared" si="1"/>
        <v>Loading...</v>
      </c>
      <c r="B25" s="12" t="s">
        <v>100</v>
      </c>
      <c r="C25" s="5">
        <v>16.0</v>
      </c>
      <c r="D25" s="24" t="b">
        <v>0</v>
      </c>
      <c r="E25" s="12" t="s">
        <v>99</v>
      </c>
      <c r="F25" s="24" t="s">
        <v>391</v>
      </c>
    </row>
    <row r="26">
      <c r="A26" s="24" t="str">
        <f t="shared" si="1"/>
        <v>Loading...</v>
      </c>
      <c r="B26" s="12" t="s">
        <v>164</v>
      </c>
      <c r="C26" s="5">
        <v>16.0</v>
      </c>
      <c r="D26" s="24" t="b">
        <v>0</v>
      </c>
      <c r="E26" s="12" t="s">
        <v>163</v>
      </c>
      <c r="F26" s="24" t="s">
        <v>392</v>
      </c>
    </row>
    <row r="27">
      <c r="A27" s="24" t="str">
        <f t="shared" si="1"/>
        <v>Loading...</v>
      </c>
      <c r="B27" s="12" t="s">
        <v>232</v>
      </c>
      <c r="C27" s="5">
        <v>16.0</v>
      </c>
      <c r="D27" s="24" t="b">
        <v>1</v>
      </c>
      <c r="E27" s="12" t="s">
        <v>231</v>
      </c>
      <c r="F27" s="24" t="s">
        <v>393</v>
      </c>
    </row>
    <row r="28">
      <c r="A28" s="24" t="str">
        <f t="shared" si="1"/>
        <v>Loading...</v>
      </c>
      <c r="B28" s="12" t="s">
        <v>158</v>
      </c>
      <c r="C28" s="5">
        <v>16.0</v>
      </c>
      <c r="D28" s="24" t="b">
        <v>0</v>
      </c>
      <c r="E28" s="12" t="s">
        <v>157</v>
      </c>
      <c r="F28" s="24" t="s">
        <v>396</v>
      </c>
    </row>
    <row r="29">
      <c r="A29" s="24" t="str">
        <f t="shared" si="1"/>
        <v>Loading...</v>
      </c>
      <c r="B29" s="12" t="s">
        <v>300</v>
      </c>
      <c r="C29" s="5">
        <v>16.0</v>
      </c>
      <c r="D29" s="24" t="b">
        <v>0</v>
      </c>
      <c r="E29" s="12" t="s">
        <v>299</v>
      </c>
      <c r="F29" s="24" t="s">
        <v>397</v>
      </c>
    </row>
    <row r="30">
      <c r="A30" s="24" t="str">
        <f t="shared" si="1"/>
        <v>Loading...</v>
      </c>
      <c r="B30" s="12" t="s">
        <v>204</v>
      </c>
      <c r="C30" s="5">
        <v>16.0</v>
      </c>
      <c r="D30" s="24" t="b">
        <v>1</v>
      </c>
      <c r="E30" s="12" t="s">
        <v>203</v>
      </c>
      <c r="F30" s="24" t="s">
        <v>398</v>
      </c>
    </row>
    <row r="31">
      <c r="A31" s="24" t="str">
        <f t="shared" si="1"/>
        <v>Loading...</v>
      </c>
      <c r="B31" s="58" t="s">
        <v>295</v>
      </c>
      <c r="C31" s="5">
        <v>16.0</v>
      </c>
      <c r="D31" s="24" t="b">
        <v>0</v>
      </c>
      <c r="E31" s="12" t="s">
        <v>294</v>
      </c>
      <c r="F31" s="24" t="s">
        <v>400</v>
      </c>
    </row>
    <row r="32">
      <c r="A32" s="24" t="str">
        <f t="shared" si="1"/>
        <v>Loading...</v>
      </c>
      <c r="B32" s="12" t="s">
        <v>156</v>
      </c>
      <c r="C32" s="5">
        <v>16.0</v>
      </c>
      <c r="D32" s="24" t="b">
        <v>0</v>
      </c>
      <c r="E32" s="12" t="s">
        <v>155</v>
      </c>
      <c r="F32" s="24" t="s">
        <v>401</v>
      </c>
    </row>
    <row r="33">
      <c r="A33" s="24" t="str">
        <f t="shared" si="1"/>
        <v>Loading...</v>
      </c>
      <c r="B33" s="58" t="s">
        <v>104</v>
      </c>
      <c r="C33" s="5">
        <v>16.0</v>
      </c>
      <c r="D33" s="24" t="b">
        <v>0</v>
      </c>
      <c r="E33" s="12" t="s">
        <v>103</v>
      </c>
      <c r="F33" s="24" t="s">
        <v>402</v>
      </c>
      <c r="G33" s="24" t="s">
        <v>497</v>
      </c>
    </row>
    <row r="34">
      <c r="A34" s="24" t="str">
        <f t="shared" si="1"/>
        <v>Loading...</v>
      </c>
      <c r="B34" s="12" t="s">
        <v>202</v>
      </c>
      <c r="C34" s="5">
        <v>16.0</v>
      </c>
      <c r="D34" s="24" t="b">
        <v>1</v>
      </c>
      <c r="E34" s="12" t="s">
        <v>201</v>
      </c>
      <c r="F34" s="24" t="s">
        <v>403</v>
      </c>
    </row>
    <row r="35">
      <c r="A35" s="24" t="str">
        <f t="shared" si="1"/>
        <v>Loading...</v>
      </c>
      <c r="B35" s="12" t="s">
        <v>239</v>
      </c>
      <c r="C35" s="5">
        <v>16.0</v>
      </c>
      <c r="D35" s="24" t="b">
        <v>0</v>
      </c>
      <c r="E35" s="12" t="s">
        <v>238</v>
      </c>
      <c r="F35" s="24" t="s">
        <v>404</v>
      </c>
      <c r="G35" s="24" t="s">
        <v>499</v>
      </c>
    </row>
    <row r="36">
      <c r="A36" s="24" t="str">
        <f t="shared" si="1"/>
        <v>Loading...</v>
      </c>
      <c r="B36" s="12" t="s">
        <v>213</v>
      </c>
      <c r="C36" s="5">
        <v>16.0</v>
      </c>
      <c r="D36" s="24" t="b">
        <v>0</v>
      </c>
      <c r="E36" s="12" t="s">
        <v>212</v>
      </c>
      <c r="F36" s="24" t="s">
        <v>405</v>
      </c>
    </row>
    <row r="37">
      <c r="A37" s="24" t="str">
        <f t="shared" si="1"/>
        <v>Loading...</v>
      </c>
      <c r="B37" s="58" t="s">
        <v>138</v>
      </c>
      <c r="C37" s="5">
        <v>16.0</v>
      </c>
      <c r="D37" s="24" t="b">
        <v>1</v>
      </c>
      <c r="E37" s="12" t="s">
        <v>137</v>
      </c>
      <c r="F37" s="24" t="s">
        <v>406</v>
      </c>
    </row>
    <row r="38">
      <c r="A38" s="24" t="str">
        <f t="shared" si="1"/>
        <v>Loading...</v>
      </c>
      <c r="B38" s="12" t="s">
        <v>256</v>
      </c>
      <c r="C38" s="5">
        <v>16.0</v>
      </c>
      <c r="D38" s="24" t="b">
        <v>1</v>
      </c>
      <c r="E38" s="12" t="s">
        <v>255</v>
      </c>
      <c r="F38" s="24" t="s">
        <v>407</v>
      </c>
    </row>
    <row r="39">
      <c r="A39" s="24" t="str">
        <f t="shared" si="1"/>
        <v>Loading...</v>
      </c>
      <c r="B39" s="12" t="s">
        <v>186</v>
      </c>
      <c r="C39" s="5">
        <v>16.0</v>
      </c>
      <c r="D39" s="24" t="b">
        <v>1</v>
      </c>
      <c r="E39" s="12" t="s">
        <v>185</v>
      </c>
      <c r="F39" s="24" t="s">
        <v>409</v>
      </c>
    </row>
    <row r="40">
      <c r="A40" s="24" t="str">
        <f t="shared" si="1"/>
        <v>Loading...</v>
      </c>
      <c r="B40" s="12" t="s">
        <v>196</v>
      </c>
      <c r="C40" s="5">
        <v>16.0</v>
      </c>
      <c r="D40" s="24" t="b">
        <v>1</v>
      </c>
      <c r="E40" s="12" t="s">
        <v>195</v>
      </c>
      <c r="F40" s="24" t="s">
        <v>411</v>
      </c>
    </row>
    <row r="41">
      <c r="A41" s="24" t="str">
        <f t="shared" si="1"/>
        <v>Loading...</v>
      </c>
      <c r="B41" s="12" t="s">
        <v>234</v>
      </c>
      <c r="C41" s="5">
        <v>16.0</v>
      </c>
      <c r="D41" s="24" t="b">
        <v>1</v>
      </c>
      <c r="E41" s="12" t="s">
        <v>233</v>
      </c>
      <c r="F41" s="24" t="s">
        <v>414</v>
      </c>
    </row>
    <row r="42">
      <c r="A42" s="24" t="str">
        <f t="shared" si="1"/>
        <v>Loading...</v>
      </c>
      <c r="B42" s="12" t="s">
        <v>144</v>
      </c>
      <c r="C42" s="5">
        <v>16.0</v>
      </c>
      <c r="D42" s="24" t="b">
        <v>1</v>
      </c>
      <c r="E42" s="12" t="s">
        <v>143</v>
      </c>
      <c r="F42" s="24" t="s">
        <v>415</v>
      </c>
    </row>
    <row r="43">
      <c r="A43" s="24" t="str">
        <f t="shared" si="1"/>
        <v>Loading...</v>
      </c>
      <c r="B43" s="12" t="s">
        <v>286</v>
      </c>
      <c r="C43" s="5">
        <v>16.0</v>
      </c>
      <c r="D43" s="24" t="b">
        <v>0</v>
      </c>
      <c r="E43" s="12" t="s">
        <v>285</v>
      </c>
      <c r="F43" s="24" t="s">
        <v>416</v>
      </c>
    </row>
    <row r="44">
      <c r="A44" s="24" t="str">
        <f t="shared" si="1"/>
        <v>Loading...</v>
      </c>
      <c r="B44" s="58" t="s">
        <v>176</v>
      </c>
      <c r="C44" s="5">
        <v>16.0</v>
      </c>
      <c r="D44" s="24" t="b">
        <v>1</v>
      </c>
      <c r="E44" s="12" t="s">
        <v>175</v>
      </c>
      <c r="F44" s="24" t="s">
        <v>418</v>
      </c>
    </row>
    <row r="45">
      <c r="A45" s="24" t="str">
        <f t="shared" si="1"/>
        <v>Loading...</v>
      </c>
      <c r="B45" s="12" t="s">
        <v>172</v>
      </c>
      <c r="C45" s="5">
        <v>16.0</v>
      </c>
      <c r="D45" s="24" t="b">
        <v>1</v>
      </c>
      <c r="E45" s="12" t="s">
        <v>171</v>
      </c>
      <c r="F45" s="24" t="s">
        <v>419</v>
      </c>
    </row>
    <row r="46">
      <c r="A46" s="24" t="str">
        <f t="shared" si="1"/>
        <v>Loading...</v>
      </c>
      <c r="B46" s="12" t="s">
        <v>113</v>
      </c>
      <c r="C46" s="5">
        <v>16.0</v>
      </c>
      <c r="D46" s="24" t="b">
        <v>1</v>
      </c>
      <c r="E46" s="12" t="s">
        <v>112</v>
      </c>
      <c r="F46" s="24" t="s">
        <v>421</v>
      </c>
    </row>
    <row r="47">
      <c r="A47" s="24" t="str">
        <f t="shared" si="1"/>
        <v>Loading...</v>
      </c>
      <c r="B47" s="12" t="s">
        <v>102</v>
      </c>
      <c r="C47" s="5">
        <v>16.0</v>
      </c>
      <c r="D47" s="24" t="b">
        <v>0</v>
      </c>
      <c r="E47" s="12" t="s">
        <v>101</v>
      </c>
      <c r="F47" s="24" t="s">
        <v>423</v>
      </c>
    </row>
    <row r="48">
      <c r="A48" s="24" t="str">
        <f t="shared" si="1"/>
        <v>Loading...</v>
      </c>
      <c r="B48" s="12" t="s">
        <v>119</v>
      </c>
      <c r="C48" s="5">
        <v>16.0</v>
      </c>
      <c r="D48" s="24" t="b">
        <v>1</v>
      </c>
      <c r="E48" s="12" t="s">
        <v>118</v>
      </c>
      <c r="F48" s="24" t="s">
        <v>425</v>
      </c>
    </row>
    <row r="49">
      <c r="A49" s="24" t="str">
        <f t="shared" si="1"/>
        <v>Loading...</v>
      </c>
      <c r="B49" s="12" t="s">
        <v>106</v>
      </c>
      <c r="C49" s="5">
        <v>16.0</v>
      </c>
      <c r="D49" s="24" t="b">
        <v>1</v>
      </c>
      <c r="E49" s="12" t="s">
        <v>105</v>
      </c>
      <c r="F49" s="24" t="s">
        <v>426</v>
      </c>
    </row>
    <row r="50">
      <c r="A50" s="24" t="str">
        <f t="shared" si="1"/>
        <v>Loading...</v>
      </c>
      <c r="B50" s="58" t="s">
        <v>153</v>
      </c>
      <c r="C50" s="5">
        <v>16.0</v>
      </c>
      <c r="D50" s="24" t="b">
        <v>1</v>
      </c>
      <c r="E50" s="12" t="s">
        <v>152</v>
      </c>
      <c r="F50" s="24" t="s">
        <v>429</v>
      </c>
      <c r="G50" s="24" t="s">
        <v>507</v>
      </c>
    </row>
    <row r="51">
      <c r="A51" s="24" t="str">
        <f t="shared" si="1"/>
        <v>Loading...</v>
      </c>
      <c r="B51" s="12" t="s">
        <v>293</v>
      </c>
      <c r="C51" s="5">
        <v>16.0</v>
      </c>
      <c r="D51" s="24" t="b">
        <v>1</v>
      </c>
      <c r="E51" s="12" t="s">
        <v>292</v>
      </c>
      <c r="F51" s="24" t="s">
        <v>431</v>
      </c>
    </row>
    <row r="52">
      <c r="A52" s="24" t="str">
        <f t="shared" si="1"/>
        <v>Loading...</v>
      </c>
      <c r="B52" s="12" t="s">
        <v>242</v>
      </c>
      <c r="C52" s="5">
        <v>16.0</v>
      </c>
      <c r="D52" s="24" t="b">
        <v>0</v>
      </c>
      <c r="E52" s="12" t="s">
        <v>241</v>
      </c>
      <c r="F52" s="24" t="s">
        <v>433</v>
      </c>
    </row>
    <row r="53">
      <c r="A53" s="24" t="str">
        <f t="shared" si="1"/>
        <v>Loading...</v>
      </c>
      <c r="B53" s="12" t="s">
        <v>160</v>
      </c>
      <c r="C53" s="5">
        <v>16.0</v>
      </c>
      <c r="D53" s="24" t="b">
        <v>0</v>
      </c>
      <c r="E53" s="12" t="s">
        <v>159</v>
      </c>
      <c r="F53" s="24" t="s">
        <v>435</v>
      </c>
    </row>
    <row r="54">
      <c r="A54" s="24" t="str">
        <f t="shared" si="1"/>
        <v>Loading...</v>
      </c>
      <c r="B54" s="12" t="s">
        <v>250</v>
      </c>
      <c r="C54" s="5">
        <v>16.0</v>
      </c>
      <c r="D54" s="24" t="b">
        <v>1</v>
      </c>
      <c r="E54" s="12" t="s">
        <v>249</v>
      </c>
      <c r="F54" s="24" t="s">
        <v>438</v>
      </c>
    </row>
    <row r="55">
      <c r="A55" s="24" t="str">
        <f t="shared" si="1"/>
        <v>Loading...</v>
      </c>
      <c r="B55" s="58" t="s">
        <v>126</v>
      </c>
      <c r="C55" s="5">
        <v>16.0</v>
      </c>
      <c r="D55" s="24" t="b">
        <v>1</v>
      </c>
      <c r="E55" s="12" t="s">
        <v>125</v>
      </c>
      <c r="F55" s="24" t="s">
        <v>439</v>
      </c>
    </row>
    <row r="56">
      <c r="A56" s="24" t="str">
        <f t="shared" si="1"/>
        <v>Loading...</v>
      </c>
      <c r="B56" s="12" t="s">
        <v>168</v>
      </c>
      <c r="C56" s="5">
        <v>16.0</v>
      </c>
      <c r="D56" s="24" t="b">
        <v>1</v>
      </c>
      <c r="E56" s="12" t="s">
        <v>167</v>
      </c>
      <c r="F56" s="24" t="s">
        <v>440</v>
      </c>
    </row>
    <row r="57">
      <c r="A57" s="24" t="str">
        <f t="shared" si="1"/>
        <v>Loading...</v>
      </c>
      <c r="B57" s="12" t="s">
        <v>268</v>
      </c>
      <c r="C57" s="5">
        <v>16.0</v>
      </c>
      <c r="D57" s="24" t="b">
        <v>1</v>
      </c>
      <c r="E57" s="12" t="s">
        <v>267</v>
      </c>
      <c r="F57" s="24" t="s">
        <v>441</v>
      </c>
    </row>
    <row r="58">
      <c r="A58" s="24" t="str">
        <f t="shared" si="1"/>
        <v>Loading...</v>
      </c>
      <c r="B58" s="58" t="s">
        <v>108</v>
      </c>
      <c r="C58" s="5">
        <v>16.0</v>
      </c>
      <c r="D58" s="24" t="b">
        <v>0</v>
      </c>
      <c r="E58" s="12" t="s">
        <v>107</v>
      </c>
      <c r="F58" s="24" t="s">
        <v>443</v>
      </c>
    </row>
    <row r="59">
      <c r="A59" s="24" t="str">
        <f t="shared" si="1"/>
        <v>Loading...</v>
      </c>
      <c r="B59" s="12" t="s">
        <v>182</v>
      </c>
      <c r="C59" s="5">
        <v>16.0</v>
      </c>
      <c r="D59" s="24" t="b">
        <v>1</v>
      </c>
      <c r="E59" s="12" t="s">
        <v>181</v>
      </c>
      <c r="F59" s="24" t="s">
        <v>444</v>
      </c>
    </row>
    <row r="60">
      <c r="A60" s="24" t="str">
        <f t="shared" si="1"/>
        <v>Loading...</v>
      </c>
      <c r="B60" s="12" t="s">
        <v>140</v>
      </c>
      <c r="C60" s="5">
        <v>16.0</v>
      </c>
      <c r="D60" s="24" t="b">
        <v>1</v>
      </c>
      <c r="E60" s="12" t="s">
        <v>139</v>
      </c>
      <c r="F60" s="24" t="s">
        <v>445</v>
      </c>
    </row>
    <row r="61">
      <c r="A61" s="24" t="str">
        <f t="shared" si="1"/>
        <v>Loading...</v>
      </c>
      <c r="B61" s="58" t="s">
        <v>264</v>
      </c>
      <c r="C61" s="5">
        <v>16.0</v>
      </c>
      <c r="D61" s="24" t="b">
        <v>1</v>
      </c>
      <c r="E61" s="12" t="s">
        <v>263</v>
      </c>
      <c r="F61" s="24" t="s">
        <v>446</v>
      </c>
    </row>
    <row r="62">
      <c r="A62" s="24" t="str">
        <f t="shared" si="1"/>
        <v>Loading...</v>
      </c>
      <c r="B62" s="12" t="s">
        <v>180</v>
      </c>
      <c r="C62" s="5">
        <v>16.0</v>
      </c>
      <c r="D62" s="24" t="b">
        <v>0</v>
      </c>
      <c r="E62" s="12" t="s">
        <v>179</v>
      </c>
      <c r="F62" s="24" t="s">
        <v>448</v>
      </c>
    </row>
    <row r="63">
      <c r="A63" s="24" t="str">
        <f t="shared" si="1"/>
        <v>Loading...</v>
      </c>
      <c r="B63" s="12" t="s">
        <v>225</v>
      </c>
      <c r="C63" s="5">
        <v>16.0</v>
      </c>
      <c r="D63" s="24" t="b">
        <v>1</v>
      </c>
      <c r="E63" s="12" t="s">
        <v>224</v>
      </c>
      <c r="F63" s="24" t="s">
        <v>451</v>
      </c>
    </row>
    <row r="64">
      <c r="A64" s="24" t="str">
        <f t="shared" si="1"/>
        <v>Loading...</v>
      </c>
      <c r="B64" s="12" t="s">
        <v>311</v>
      </c>
      <c r="C64" s="5">
        <v>16.0</v>
      </c>
      <c r="D64" s="24" t="b">
        <v>0</v>
      </c>
      <c r="E64" s="12" t="s">
        <v>310</v>
      </c>
      <c r="F64" s="24" t="s">
        <v>453</v>
      </c>
    </row>
    <row r="65">
      <c r="A65" s="24" t="str">
        <f t="shared" si="1"/>
        <v>Loading...</v>
      </c>
      <c r="B65" s="58" t="s">
        <v>526</v>
      </c>
      <c r="C65" s="5">
        <v>16.0</v>
      </c>
      <c r="D65" s="24" t="b">
        <v>1</v>
      </c>
      <c r="E65" s="12" t="s">
        <v>191</v>
      </c>
      <c r="F65" s="24" t="s">
        <v>456</v>
      </c>
      <c r="G65" s="5" t="s">
        <v>524</v>
      </c>
    </row>
    <row r="66">
      <c r="A66" s="24" t="str">
        <f t="shared" si="1"/>
        <v>Loading...</v>
      </c>
      <c r="B66" s="58" t="s">
        <v>288</v>
      </c>
      <c r="C66" s="5">
        <v>16.0</v>
      </c>
      <c r="D66" s="24" t="b">
        <v>0</v>
      </c>
      <c r="E66" s="12" t="s">
        <v>287</v>
      </c>
      <c r="F66" s="24" t="s">
        <v>458</v>
      </c>
    </row>
    <row r="67">
      <c r="A67" s="24" t="str">
        <f t="shared" si="1"/>
        <v>Loading...</v>
      </c>
      <c r="B67" s="12" t="s">
        <v>188</v>
      </c>
      <c r="C67" s="5">
        <v>16.0</v>
      </c>
      <c r="D67" s="24" t="b">
        <v>1</v>
      </c>
      <c r="E67" s="12" t="s">
        <v>187</v>
      </c>
      <c r="F67" s="24" t="s">
        <v>461</v>
      </c>
    </row>
    <row r="68">
      <c r="A68" s="24" t="str">
        <f t="shared" si="1"/>
        <v>Loading...</v>
      </c>
      <c r="B68" s="12" t="s">
        <v>302</v>
      </c>
      <c r="C68" s="5">
        <v>16.0</v>
      </c>
      <c r="D68" s="24" t="b">
        <v>0</v>
      </c>
      <c r="E68" s="12" t="s">
        <v>301</v>
      </c>
      <c r="F68" s="24" t="s">
        <v>463</v>
      </c>
    </row>
    <row r="69">
      <c r="A69" s="24" t="str">
        <f t="shared" si="1"/>
        <v>Loading...</v>
      </c>
      <c r="B69" s="12" t="s">
        <v>148</v>
      </c>
      <c r="C69" s="5">
        <v>16.0</v>
      </c>
      <c r="D69" s="24" t="b">
        <v>0</v>
      </c>
      <c r="E69" s="12" t="s">
        <v>147</v>
      </c>
      <c r="F69" s="24" t="s">
        <v>466</v>
      </c>
    </row>
  </sheetData>
  <autoFilter ref="$A$1:$F$69"/>
  <drawing r:id="rId1"/>
</worksheet>
</file>